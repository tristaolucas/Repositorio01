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DRE 12 Meses" sheetId="2" state="visible" r:id="rId2"/>
    <sheet name="Cenários" sheetId="3" state="visible" r:id="rId3"/>
    <sheet name="Fluxo de Caixa" sheetId="4" state="visible" r:id="rId4"/>
    <sheet name="Breakeven" sheetId="5" state="visible" r:id="rId5"/>
    <sheet name="Sensibilidade" sheetId="6" state="visible" r:id="rId6"/>
    <sheet name="Kill Crite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(R$ #,##0.00);-"/>
    <numFmt numFmtId="165" formatCode="0.0%"/>
    <numFmt numFmtId="166" formatCode="R$ #,##0;(R$ #,##0);-"/>
    <numFmt numFmtId="167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00"/>
      <sz val="12"/>
    </font>
    <font>
      <name val="Arial"/>
      <i val="1"/>
      <color rgb="00666666"/>
      <sz val="9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FFFFFF"/>
      <sz val="11"/>
    </font>
    <font>
      <name val="Arial"/>
      <color rgb="000000FF"/>
      <sz val="11"/>
    </font>
    <font>
      <name val="Arial"/>
      <color rgb="00008000"/>
      <sz val="11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/>
      <bottom style="double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0" borderId="1" pivotButton="0" quotePrefix="0" xfId="0"/>
    <xf numFmtId="164" fontId="7" fillId="4" borderId="1" pivotButton="0" quotePrefix="0" xfId="0"/>
    <xf numFmtId="0" fontId="3" fillId="0" borderId="1" pivotButton="0" quotePrefix="0" xfId="0"/>
    <xf numFmtId="164" fontId="5" fillId="0" borderId="1" pivotButton="0" quotePrefix="0" xfId="0"/>
    <xf numFmtId="3" fontId="7" fillId="4" borderId="1" pivotButton="0" quotePrefix="0" xfId="0"/>
    <xf numFmtId="165" fontId="7" fillId="4" borderId="1" pivotButton="0" quotePrefix="0" xfId="0"/>
    <xf numFmtId="3" fontId="5" fillId="0" borderId="1" pivotButton="0" quotePrefix="0" xfId="0"/>
    <xf numFmtId="166" fontId="7" fillId="4" borderId="1" pivotButton="0" quotePrefix="0" xfId="0"/>
    <xf numFmtId="166" fontId="5" fillId="0" borderId="1" pivotButton="0" quotePrefix="0" xfId="0"/>
    <xf numFmtId="0" fontId="4" fillId="0" borderId="2" pivotButton="0" quotePrefix="0" xfId="0"/>
    <xf numFmtId="166" fontId="4" fillId="0" borderId="2" pivotButton="0" quotePrefix="0" xfId="0"/>
    <xf numFmtId="166" fontId="8" fillId="0" borderId="1" pivotButton="0" quotePrefix="0" xfId="0"/>
    <xf numFmtId="0" fontId="6" fillId="3" borderId="1" applyAlignment="1" pivotButton="0" quotePrefix="0" xfId="0">
      <alignment horizontal="center" wrapText="1"/>
    </xf>
    <xf numFmtId="0" fontId="0" fillId="0" borderId="1" pivotButton="0" quotePrefix="0" xfId="0"/>
    <xf numFmtId="0" fontId="4" fillId="2" borderId="1" pivotButton="0" quotePrefix="0" xfId="0"/>
    <xf numFmtId="0" fontId="0" fillId="2" borderId="1" pivotButton="0" quotePrefix="0" xfId="0"/>
    <xf numFmtId="0" fontId="4" fillId="5" borderId="1" pivotButton="0" quotePrefix="0" xfId="0"/>
    <xf numFmtId="166" fontId="4" fillId="5" borderId="1" pivotButton="0" quotePrefix="0" xfId="0"/>
    <xf numFmtId="0" fontId="5" fillId="6" borderId="1" pivotButton="0" quotePrefix="0" xfId="0"/>
    <xf numFmtId="166" fontId="5" fillId="6" borderId="1" pivotButton="0" quotePrefix="0" xfId="0"/>
    <xf numFmtId="0" fontId="4" fillId="0" borderId="1" pivotButton="0" quotePrefix="0" xfId="0"/>
    <xf numFmtId="166" fontId="4" fillId="0" borderId="1" pivotButton="0" quotePrefix="0" xfId="0"/>
    <xf numFmtId="0" fontId="4" fillId="6" borderId="1" pivotButton="0" quotePrefix="0" xfId="0"/>
    <xf numFmtId="166" fontId="4" fillId="6" borderId="1" pivotButton="0" quotePrefix="0" xfId="0"/>
    <xf numFmtId="165" fontId="5" fillId="0" borderId="1" pivotButton="0" quotePrefix="0" xfId="0"/>
    <xf numFmtId="0" fontId="4" fillId="7" borderId="1" pivotButton="0" quotePrefix="0" xfId="0"/>
    <xf numFmtId="166" fontId="4" fillId="7" borderId="1" pivotButton="0" quotePrefix="0" xfId="0"/>
    <xf numFmtId="0" fontId="6" fillId="3" borderId="1" applyAlignment="1" pivotButton="0" quotePrefix="0" xfId="0">
      <alignment horizontal="center"/>
    </xf>
    <xf numFmtId="167" fontId="4" fillId="0" borderId="1" pivotButton="0" quotePrefix="0" xfId="0"/>
    <xf numFmtId="165" fontId="4" fillId="0" borderId="1" pivotButton="0" quotePrefix="0" xfId="0"/>
    <xf numFmtId="166" fontId="0" fillId="5" borderId="1" pivotButton="0" quotePrefix="0" xfId="0"/>
    <xf numFmtId="166" fontId="0" fillId="0" borderId="1" pivotButton="0" quotePrefix="0" xfId="0"/>
    <xf numFmtId="166" fontId="0" fillId="6" borderId="1" pivotButton="0" quotePrefix="0" xfId="0"/>
    <xf numFmtId="167" fontId="5" fillId="0" borderId="1" pivotButton="0" quotePrefix="0" xfId="0"/>
    <xf numFmtId="164" fontId="7" fillId="0" borderId="1" pivotButton="0" quotePrefix="0" xfId="0"/>
    <xf numFmtId="3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45" customWidth="1" min="4" max="4"/>
    <col width="12" customWidth="1" min="5" max="5"/>
  </cols>
  <sheetData>
    <row r="1">
      <c r="A1" s="1" t="inlineStr">
        <is>
          <t>PLANO DE NEGÓCIOS — REVENDA DE GÁS E ÁGUA MINERAL</t>
        </is>
      </c>
    </row>
    <row r="2">
      <c r="A2" s="2" t="inlineStr">
        <is>
          <t>Supermercado Multishow — Anchieta/ES</t>
        </is>
      </c>
    </row>
    <row r="3">
      <c r="A3" s="3" t="inlineStr">
        <is>
          <t>Data: Agosto/2026</t>
        </is>
      </c>
    </row>
    <row r="5">
      <c r="A5" s="4" t="inlineStr">
        <is>
          <t>DADOS DO NEGÓCIO</t>
        </is>
      </c>
    </row>
    <row r="6">
      <c r="A6" s="5" t="inlineStr">
        <is>
          <t>Modelo</t>
        </is>
      </c>
      <c r="B6" s="6" t="inlineStr">
        <is>
          <t>Revenda independente (bandeira branca)</t>
        </is>
      </c>
    </row>
    <row r="7">
      <c r="A7" s="5" t="inlineStr">
        <is>
          <t>Localização</t>
        </is>
      </c>
      <c r="B7" s="6" t="inlineStr">
        <is>
          <t>Rua de trás do Supermercado Multishow, Anchieta/ES</t>
        </is>
      </c>
    </row>
    <row r="8">
      <c r="A8" s="5" t="inlineStr">
        <is>
          <t>Classe de armazenamento</t>
        </is>
      </c>
      <c r="B8" s="6" t="inlineStr">
        <is>
          <t>Classe II (até 120 botijões P13)</t>
        </is>
      </c>
    </row>
    <row r="9">
      <c r="A9" s="5" t="inlineStr">
        <is>
          <t>Imóvel</t>
        </is>
      </c>
      <c r="B9" s="6" t="inlineStr">
        <is>
          <t>Próprio — custo zero de aluguel</t>
        </is>
      </c>
    </row>
    <row r="10">
      <c r="A10" s="5" t="inlineStr">
        <is>
          <t>População Anchieta (2025)</t>
        </is>
      </c>
      <c r="B10" s="6" t="inlineStr">
        <is>
          <t>~33.000 habitantes / ~10.000 domicílios</t>
        </is>
      </c>
    </row>
    <row r="12">
      <c r="A12" s="4" t="inlineStr">
        <is>
          <t>PREMISSAS DE PREÇO E CUSTO</t>
        </is>
      </c>
    </row>
    <row r="13">
      <c r="A13" s="7" t="inlineStr">
        <is>
          <t>Item</t>
        </is>
      </c>
      <c r="B13" s="7" t="inlineStr">
        <is>
          <t>Valor</t>
        </is>
      </c>
      <c r="C13" s="7" t="inlineStr">
        <is>
          <t>Unidade</t>
        </is>
      </c>
      <c r="D13" s="7" t="inlineStr">
        <is>
          <t>Fonte / Nota</t>
        </is>
      </c>
    </row>
    <row r="14">
      <c r="A14" s="8" t="inlineStr">
        <is>
          <t>Preço venda — Gás P13</t>
        </is>
      </c>
      <c r="B14" s="9" t="n">
        <v>106</v>
      </c>
      <c r="C14" s="8" t="inlineStr">
        <is>
          <t>R$/botijão</t>
        </is>
      </c>
      <c r="D14" s="10" t="inlineStr">
        <is>
          <t>Média ES — Googás/ANP</t>
        </is>
      </c>
    </row>
    <row r="15">
      <c r="A15" s="8" t="inlineStr">
        <is>
          <t>Custo compra — Gás P13</t>
        </is>
      </c>
      <c r="B15" s="9" t="n">
        <v>80</v>
      </c>
      <c r="C15" s="8" t="inlineStr">
        <is>
          <t>R$/botijão</t>
        </is>
      </c>
      <c r="D15" s="10" t="inlineStr">
        <is>
          <t>Estimativa negociação bandeira branca</t>
        </is>
      </c>
    </row>
    <row r="16">
      <c r="A16" s="8" t="inlineStr">
        <is>
          <t>Margem bruta — Gás P13</t>
        </is>
      </c>
      <c r="B16" s="11">
        <f>B14-B15</f>
        <v/>
      </c>
      <c r="C16" s="8" t="inlineStr">
        <is>
          <t>R$/botijão</t>
        </is>
      </c>
      <c r="D16" s="10" t="inlineStr">
        <is>
          <t>Fórmula: Preço - Custo</t>
        </is>
      </c>
    </row>
    <row r="18">
      <c r="A18" s="8" t="inlineStr">
        <is>
          <t>Preço venda — Água 20L</t>
        </is>
      </c>
      <c r="B18" s="9" t="n">
        <v>11.5</v>
      </c>
      <c r="C18" s="8" t="inlineStr">
        <is>
          <t>R$/galão</t>
        </is>
      </c>
      <c r="D18" s="10" t="inlineStr">
        <is>
          <t>Média mercado local</t>
        </is>
      </c>
    </row>
    <row r="19">
      <c r="A19" s="8" t="inlineStr">
        <is>
          <t>Custo compra — Água 20L</t>
        </is>
      </c>
      <c r="B19" s="9" t="n">
        <v>4.5</v>
      </c>
      <c r="C19" s="8" t="inlineStr">
        <is>
          <t>R$/galão</t>
        </is>
      </c>
      <c r="D19" s="10" t="inlineStr">
        <is>
          <t>Preço atacado ES</t>
        </is>
      </c>
    </row>
    <row r="20">
      <c r="A20" s="8" t="inlineStr">
        <is>
          <t>Margem bruta — Água 20L</t>
        </is>
      </c>
      <c r="B20" s="11">
        <f>B18-B19</f>
        <v/>
      </c>
      <c r="C20" s="8" t="inlineStr">
        <is>
          <t>R$/galão</t>
        </is>
      </c>
      <c r="D20" s="10" t="inlineStr">
        <is>
          <t>Fórmula: Preço - Custo</t>
        </is>
      </c>
    </row>
    <row r="22">
      <c r="A22" s="8" t="inlineStr">
        <is>
          <t>Dias de operação/mês</t>
        </is>
      </c>
      <c r="B22" s="12" t="n">
        <v>26</v>
      </c>
      <c r="C22" s="8" t="inlineStr">
        <is>
          <t>dias</t>
        </is>
      </c>
      <c r="D22" s="10" t="inlineStr">
        <is>
          <t>Seg-Sáb</t>
        </is>
      </c>
    </row>
    <row r="23">
      <c r="A23" s="8" t="inlineStr">
        <is>
          <t>Alíquota Simples Nacional</t>
        </is>
      </c>
      <c r="B23" s="13" t="n">
        <v>0.06</v>
      </c>
      <c r="C23" s="8" t="inlineStr">
        <is>
          <t>%</t>
        </is>
      </c>
      <c r="D23" s="10" t="inlineStr">
        <is>
          <t>Faixa estimada — comércio</t>
        </is>
      </c>
    </row>
    <row r="24">
      <c r="A24" s="8" t="inlineStr">
        <is>
          <t>Custo entrega (combustível)</t>
        </is>
      </c>
      <c r="B24" s="9" t="n">
        <v>800</v>
      </c>
      <c r="C24" s="8" t="inlineStr">
        <is>
          <t>R$/mês</t>
        </is>
      </c>
      <c r="D24" s="10" t="inlineStr">
        <is>
          <t>Moto/utilitário — estimativa</t>
        </is>
      </c>
    </row>
    <row r="26">
      <c r="A26" s="4" t="inlineStr">
        <is>
          <t>PREMISSAS DE VOLUME (vendas/dia)</t>
        </is>
      </c>
    </row>
    <row r="27">
      <c r="A27" s="7" t="inlineStr">
        <is>
          <t>Item</t>
        </is>
      </c>
      <c r="B27" s="7" t="inlineStr">
        <is>
          <t>Pessimista</t>
        </is>
      </c>
      <c r="C27" s="7" t="inlineStr">
        <is>
          <t>Realista</t>
        </is>
      </c>
      <c r="D27" s="7" t="inlineStr">
        <is>
          <t>Otimista</t>
        </is>
      </c>
    </row>
    <row r="28">
      <c r="A28" s="8" t="inlineStr">
        <is>
          <t>Gás P13 (botijões/dia)</t>
        </is>
      </c>
      <c r="B28" s="12" t="n">
        <v>8</v>
      </c>
      <c r="C28" s="12" t="n">
        <v>15</v>
      </c>
      <c r="D28" s="12" t="n">
        <v>25</v>
      </c>
    </row>
    <row r="29">
      <c r="A29" s="8" t="inlineStr">
        <is>
          <t>Água 20L (galões/dia)</t>
        </is>
      </c>
      <c r="B29" s="12" t="n">
        <v>10</v>
      </c>
      <c r="C29" s="12" t="n">
        <v>20</v>
      </c>
      <c r="D29" s="12" t="n">
        <v>30</v>
      </c>
    </row>
    <row r="31">
      <c r="A31" s="4" t="inlineStr">
        <is>
          <t>VOLUME MENSAL (calculado)</t>
        </is>
      </c>
    </row>
    <row r="32">
      <c r="A32" s="7" t="inlineStr">
        <is>
          <t>Item</t>
        </is>
      </c>
      <c r="B32" s="7" t="inlineStr">
        <is>
          <t>Pessimista</t>
        </is>
      </c>
      <c r="C32" s="7" t="inlineStr">
        <is>
          <t>Realista</t>
        </is>
      </c>
      <c r="D32" s="7" t="inlineStr">
        <is>
          <t>Otimista</t>
        </is>
      </c>
    </row>
    <row r="33">
      <c r="A33" s="8" t="inlineStr">
        <is>
          <t>Gás P13 (botijões/mês)</t>
        </is>
      </c>
      <c r="B33" s="14">
        <f>B28*B22</f>
        <v/>
      </c>
      <c r="C33" s="14">
        <f>C28*B22</f>
        <v/>
      </c>
      <c r="D33" s="14">
        <f>D28*B22</f>
        <v/>
      </c>
    </row>
    <row r="34">
      <c r="A34" s="8" t="inlineStr">
        <is>
          <t>Água 20L (galões/mês)</t>
        </is>
      </c>
      <c r="B34" s="14">
        <f>B29*B22</f>
        <v/>
      </c>
      <c r="C34" s="14">
        <f>C29*B22</f>
        <v/>
      </c>
      <c r="D34" s="14">
        <f>D29*B22</f>
        <v/>
      </c>
    </row>
    <row r="36">
      <c r="A36" s="4" t="inlineStr">
        <is>
          <t>INVESTIMENTO INICIAL</t>
        </is>
      </c>
    </row>
    <row r="37">
      <c r="A37" s="7" t="inlineStr">
        <is>
          <t>Item</t>
        </is>
      </c>
      <c r="B37" s="7" t="inlineStr">
        <is>
          <t>Valor (R$)</t>
        </is>
      </c>
      <c r="C37" s="7" t="inlineStr"/>
      <c r="D37" s="7" t="inlineStr">
        <is>
          <t>Nota</t>
        </is>
      </c>
    </row>
    <row r="38">
      <c r="A38" s="8" t="inlineStr">
        <is>
          <t>Concretagem do piso (~50m²)</t>
        </is>
      </c>
      <c r="B38" s="15" t="n">
        <v>3500</v>
      </c>
      <c r="D38" s="10" t="inlineStr">
        <is>
          <t>Estimativa — piso de concreto</t>
        </is>
      </c>
    </row>
    <row r="39">
      <c r="A39" s="8" t="inlineStr">
        <is>
          <t>Cobertura (telha metálica)</t>
        </is>
      </c>
      <c r="B39" s="15" t="n">
        <v>5000</v>
      </c>
      <c r="D39" s="10" t="inlineStr">
        <is>
          <t>Estrutura metálica simples + telha</t>
        </is>
      </c>
    </row>
    <row r="40">
      <c r="A40" s="8" t="inlineStr">
        <is>
          <t>Sinalização + demarcação</t>
        </is>
      </c>
      <c r="B40" s="15" t="n">
        <v>500</v>
      </c>
      <c r="D40" s="10" t="inlineStr">
        <is>
          <t>Placas obrigatórias + pintura de piso</t>
        </is>
      </c>
    </row>
    <row r="41">
      <c r="A41" s="8" t="inlineStr">
        <is>
          <t>Extintores (2x PQS)</t>
        </is>
      </c>
      <c r="B41" s="15" t="n">
        <v>500</v>
      </c>
      <c r="D41" s="10" t="inlineStr">
        <is>
          <t>Compra + suporte</t>
        </is>
      </c>
    </row>
    <row r="42">
      <c r="A42" s="8" t="inlineStr">
        <is>
          <t>Balança comercial</t>
        </is>
      </c>
      <c r="B42" s="15" t="n">
        <v>400</v>
      </c>
      <c r="D42" s="10" t="inlineStr">
        <is>
          <t>Obrigatória por lei</t>
        </is>
      </c>
    </row>
    <row r="43">
      <c r="A43" s="8" t="inlineStr">
        <is>
          <t>Instalação elétrica (adequação)</t>
        </is>
      </c>
      <c r="B43" s="15" t="n">
        <v>1000</v>
      </c>
      <c r="D43" s="10" t="inlineStr">
        <is>
          <t>Redirecionar pontos fora da zona 3m</t>
        </is>
      </c>
    </row>
    <row r="44">
      <c r="A44" s="8" t="inlineStr">
        <is>
          <t>Licenças e taxas (ANP, Bombeiros, Prefeitura)</t>
        </is>
      </c>
      <c r="B44" s="15" t="n">
        <v>3000</v>
      </c>
      <c r="D44" s="10" t="inlineStr">
        <is>
          <t>Estimativa — pode variar</t>
        </is>
      </c>
    </row>
    <row r="45">
      <c r="A45" s="8" t="inlineStr">
        <is>
          <t>Abertura/alteração CNPJ + CNAE</t>
        </is>
      </c>
      <c r="B45" s="15" t="n">
        <v>2000</v>
      </c>
      <c r="D45" s="10" t="inlineStr">
        <is>
          <t>Contador + taxas</t>
        </is>
      </c>
    </row>
    <row r="46">
      <c r="A46" s="8" t="inlineStr">
        <is>
          <t>Estoque inicial — Gás (80 botijões)</t>
        </is>
      </c>
      <c r="B46" s="16">
        <f>80*B15</f>
        <v/>
      </c>
      <c r="D46" s="10" t="inlineStr">
        <is>
          <t>Fórmula</t>
        </is>
      </c>
    </row>
    <row r="47">
      <c r="A47" s="8" t="inlineStr">
        <is>
          <t>Estoque inicial — Água (150 galões)</t>
        </is>
      </c>
      <c r="B47" s="16">
        <f>150*B19</f>
        <v/>
      </c>
      <c r="D47" s="10" t="inlineStr">
        <is>
          <t>Fórmula</t>
        </is>
      </c>
    </row>
    <row r="48">
      <c r="A48" s="8" t="inlineStr">
        <is>
          <t>Capital de giro</t>
        </is>
      </c>
      <c r="B48" s="15" t="n">
        <v>5000</v>
      </c>
      <c r="D48" s="10" t="inlineStr">
        <is>
          <t>Reserva para os primeiros meses</t>
        </is>
      </c>
    </row>
    <row r="49">
      <c r="A49" s="8" t="inlineStr">
        <is>
          <t>Veículo de entrega (moto carrocinha)</t>
        </is>
      </c>
      <c r="B49" s="15" t="n">
        <v>8000</v>
      </c>
      <c r="D49" s="10" t="inlineStr">
        <is>
          <t>Moto usada + adaptação — ou usa frota existente</t>
        </is>
      </c>
    </row>
    <row r="51">
      <c r="A51" s="17" t="inlineStr">
        <is>
          <t>TOTAL INVESTIMENTO INICIAL</t>
        </is>
      </c>
      <c r="B51" s="18">
        <f>SUM(B38:B49)</f>
        <v/>
      </c>
    </row>
    <row r="53">
      <c r="A53" s="4" t="inlineStr">
        <is>
          <t>CUSTOS FIXOS MENSAIS</t>
        </is>
      </c>
    </row>
    <row r="54">
      <c r="A54" s="7" t="inlineStr">
        <is>
          <t>Item</t>
        </is>
      </c>
      <c r="B54" s="7" t="inlineStr">
        <is>
          <t>Valor (R$/mês)</t>
        </is>
      </c>
      <c r="C54" s="7" t="inlineStr"/>
      <c r="D54" s="7" t="inlineStr">
        <is>
          <t>Nota</t>
        </is>
      </c>
    </row>
    <row r="55">
      <c r="A55" s="8" t="inlineStr">
        <is>
          <t>Aluguel</t>
        </is>
      </c>
      <c r="B55" s="15" t="n">
        <v>0</v>
      </c>
      <c r="D55" s="10" t="inlineStr">
        <is>
          <t>Imóvel próprio</t>
        </is>
      </c>
    </row>
    <row r="56">
      <c r="A56" s="8" t="inlineStr">
        <is>
          <t>Funcionário (1) + encargos</t>
        </is>
      </c>
      <c r="B56" s="15" t="n">
        <v>2800</v>
      </c>
      <c r="D56" s="10" t="inlineStr">
        <is>
          <t>Salário + FGTS + férias + 13º proporcional</t>
        </is>
      </c>
    </row>
    <row r="57">
      <c r="A57" s="8" t="inlineStr">
        <is>
          <t>Contador</t>
        </is>
      </c>
      <c r="B57" s="15" t="n">
        <v>500</v>
      </c>
      <c r="D57" s="10" t="inlineStr">
        <is>
          <t>Honorários mensais</t>
        </is>
      </c>
    </row>
    <row r="58">
      <c r="A58" s="8" t="inlineStr">
        <is>
          <t>Energia elétrica</t>
        </is>
      </c>
      <c r="B58" s="15" t="n">
        <v>250</v>
      </c>
      <c r="D58" s="10" t="inlineStr">
        <is>
          <t>Estimativa — iluminação + escritório</t>
        </is>
      </c>
    </row>
    <row r="59">
      <c r="A59" s="8" t="inlineStr">
        <is>
          <t>Água / internet / telefone</t>
        </is>
      </c>
      <c r="B59" s="15" t="n">
        <v>200</v>
      </c>
      <c r="D59" s="10" t="inlineStr">
        <is>
          <t>Estimativa</t>
        </is>
      </c>
    </row>
    <row r="60">
      <c r="A60" s="8" t="inlineStr">
        <is>
          <t>Manutenção (extintores, equipamentos)</t>
        </is>
      </c>
      <c r="B60" s="15" t="n">
        <v>100</v>
      </c>
      <c r="D60" s="10" t="inlineStr">
        <is>
          <t>Proporcional anual</t>
        </is>
      </c>
    </row>
    <row r="61">
      <c r="A61" s="8" t="inlineStr">
        <is>
          <t>IPTU (proporcional)</t>
        </is>
      </c>
      <c r="B61" s="15" t="n">
        <v>0</v>
      </c>
      <c r="D61" s="10" t="inlineStr">
        <is>
          <t>Já pago como parte do imóvel</t>
        </is>
      </c>
    </row>
    <row r="62">
      <c r="A62" s="8" t="inlineStr">
        <is>
          <t>Entrega (combustível + manutenção veículo)</t>
        </is>
      </c>
      <c r="B62" s="19">
        <f>B24</f>
        <v/>
      </c>
      <c r="D62" s="10" t="inlineStr">
        <is>
          <t>Referência B24</t>
        </is>
      </c>
    </row>
    <row r="63">
      <c r="A63" s="8" t="inlineStr">
        <is>
          <t>Marketing (material Multishow)</t>
        </is>
      </c>
      <c r="B63" s="15" t="n">
        <v>300</v>
      </c>
      <c r="D63" s="10" t="inlineStr">
        <is>
          <t>Panfletos, cartaz no supermercado</t>
        </is>
      </c>
    </row>
    <row r="65">
      <c r="A65" s="17" t="inlineStr">
        <is>
          <t>TOTAL CUSTOS FIXOS/MÊS</t>
        </is>
      </c>
      <c r="B65" s="18">
        <f>SUM(B55:B63)</f>
        <v/>
      </c>
    </row>
  </sheetData>
  <mergeCells count="8">
    <mergeCell ref="A53:E53"/>
    <mergeCell ref="A12:E12"/>
    <mergeCell ref="A26:E26"/>
    <mergeCell ref="A2:E2"/>
    <mergeCell ref="A1:E1"/>
    <mergeCell ref="A5:E5"/>
    <mergeCell ref="A36:E36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DRE PROJETADA — 12 MESES — CENÁRIO REALISTA</t>
        </is>
      </c>
    </row>
    <row r="2">
      <c r="A2" s="2" t="inlineStr">
        <is>
          <t>Revenda Gás e Água — Multishow Anchieta/ES</t>
        </is>
      </c>
    </row>
    <row r="4">
      <c r="A4" s="20" t="inlineStr">
        <is>
          <t>Item</t>
        </is>
      </c>
      <c r="B4" s="20" t="inlineStr">
        <is>
          <t>Mês 1</t>
        </is>
      </c>
      <c r="C4" s="20" t="inlineStr">
        <is>
          <t>Mês 2</t>
        </is>
      </c>
      <c r="D4" s="20" t="inlineStr">
        <is>
          <t>Mês 3</t>
        </is>
      </c>
      <c r="E4" s="20" t="inlineStr">
        <is>
          <t>Mês 4</t>
        </is>
      </c>
      <c r="F4" s="20" t="inlineStr">
        <is>
          <t>Mês 5</t>
        </is>
      </c>
      <c r="G4" s="20" t="inlineStr">
        <is>
          <t>Mês 6</t>
        </is>
      </c>
      <c r="H4" s="20" t="inlineStr">
        <is>
          <t>Mês 7</t>
        </is>
      </c>
      <c r="I4" s="20" t="inlineStr">
        <is>
          <t>Mês 8</t>
        </is>
      </c>
      <c r="J4" s="20" t="inlineStr">
        <is>
          <t>Mês 9</t>
        </is>
      </c>
      <c r="K4" s="20" t="inlineStr">
        <is>
          <t>Mês 10</t>
        </is>
      </c>
      <c r="L4" s="20" t="inlineStr">
        <is>
          <t>Mês 11</t>
        </is>
      </c>
      <c r="M4" s="20" t="inlineStr">
        <is>
          <t>Mês 12</t>
        </is>
      </c>
      <c r="N4" s="20" t="inlineStr">
        <is>
          <t>Total 12M</t>
        </is>
      </c>
    </row>
    <row r="5">
      <c r="A5" s="10" t="inlineStr">
        <is>
          <t>Fator de ramp-up</t>
        </is>
      </c>
      <c r="B5" s="13" t="n">
        <v>0.5</v>
      </c>
      <c r="C5" s="13" t="n">
        <v>0.65</v>
      </c>
      <c r="D5" s="13" t="n">
        <v>0.8</v>
      </c>
      <c r="E5" s="13" t="n">
        <v>0.9</v>
      </c>
      <c r="F5" s="13" t="n">
        <v>0.95</v>
      </c>
      <c r="G5" s="13" t="n">
        <v>1</v>
      </c>
      <c r="H5" s="13" t="n">
        <v>1</v>
      </c>
      <c r="I5" s="13" t="n">
        <v>1</v>
      </c>
      <c r="J5" s="13" t="n">
        <v>1</v>
      </c>
      <c r="K5" s="13" t="n">
        <v>1</v>
      </c>
      <c r="L5" s="13" t="n">
        <v>1</v>
      </c>
      <c r="M5" s="13" t="n">
        <v>1</v>
      </c>
      <c r="N5" s="21" t="n"/>
    </row>
    <row r="6">
      <c r="A6" s="8" t="inlineStr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</row>
    <row r="7">
      <c r="A7" s="22" t="inlineStr">
        <is>
          <t>VOLUME DE VENDAS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>
      <c r="A8" s="8" t="inlineStr">
        <is>
          <t>Gás P13 (botijões)</t>
        </is>
      </c>
      <c r="B8" s="14">
        <f>'Premissas'!C33*B5</f>
        <v/>
      </c>
      <c r="C8" s="14">
        <f>'Premissas'!C33*C5</f>
        <v/>
      </c>
      <c r="D8" s="14">
        <f>'Premissas'!C33*D5</f>
        <v/>
      </c>
      <c r="E8" s="14">
        <f>'Premissas'!C33*E5</f>
        <v/>
      </c>
      <c r="F8" s="14">
        <f>'Premissas'!C33*F5</f>
        <v/>
      </c>
      <c r="G8" s="14">
        <f>'Premissas'!C33*G5</f>
        <v/>
      </c>
      <c r="H8" s="14">
        <f>'Premissas'!C33*H5</f>
        <v/>
      </c>
      <c r="I8" s="14">
        <f>'Premissas'!C33*I5</f>
        <v/>
      </c>
      <c r="J8" s="14">
        <f>'Premissas'!C33*J5</f>
        <v/>
      </c>
      <c r="K8" s="14">
        <f>'Premissas'!C33*K5</f>
        <v/>
      </c>
      <c r="L8" s="14">
        <f>'Premissas'!C33*L5</f>
        <v/>
      </c>
      <c r="M8" s="14">
        <f>'Premissas'!C33*M5</f>
        <v/>
      </c>
      <c r="N8" s="14">
        <f>SUM(B8:M8)</f>
        <v/>
      </c>
    </row>
    <row r="9">
      <c r="A9" s="8" t="inlineStr">
        <is>
          <t>Água 20L (galões)</t>
        </is>
      </c>
      <c r="B9" s="14">
        <f>'Premissas'!C34*B5</f>
        <v/>
      </c>
      <c r="C9" s="14">
        <f>'Premissas'!C34*C5</f>
        <v/>
      </c>
      <c r="D9" s="14">
        <f>'Premissas'!C34*D5</f>
        <v/>
      </c>
      <c r="E9" s="14">
        <f>'Premissas'!C34*E5</f>
        <v/>
      </c>
      <c r="F9" s="14">
        <f>'Premissas'!C34*F5</f>
        <v/>
      </c>
      <c r="G9" s="14">
        <f>'Premissas'!C34*G5</f>
        <v/>
      </c>
      <c r="H9" s="14">
        <f>'Premissas'!C34*H5</f>
        <v/>
      </c>
      <c r="I9" s="14">
        <f>'Premissas'!C34*I5</f>
        <v/>
      </c>
      <c r="J9" s="14">
        <f>'Premissas'!C34*J5</f>
        <v/>
      </c>
      <c r="K9" s="14">
        <f>'Premissas'!C34*K5</f>
        <v/>
      </c>
      <c r="L9" s="14">
        <f>'Premissas'!C34*L5</f>
        <v/>
      </c>
      <c r="M9" s="14">
        <f>'Premissas'!C34*M5</f>
        <v/>
      </c>
      <c r="N9" s="14">
        <f>SUM(B9:M9)</f>
        <v/>
      </c>
    </row>
    <row r="10">
      <c r="A10" s="8" t="inlineStr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</row>
    <row r="11">
      <c r="A11" s="22" t="inlineStr">
        <is>
          <t>RECEITA BRUTA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8" t="inlineStr">
        <is>
          <t>Receita — Gás P13</t>
        </is>
      </c>
      <c r="B12" s="16">
        <f>B8*'Premissas'!B14</f>
        <v/>
      </c>
      <c r="C12" s="16">
        <f>C8*'Premissas'!B14</f>
        <v/>
      </c>
      <c r="D12" s="16">
        <f>D8*'Premissas'!B14</f>
        <v/>
      </c>
      <c r="E12" s="16">
        <f>E8*'Premissas'!B14</f>
        <v/>
      </c>
      <c r="F12" s="16">
        <f>F8*'Premissas'!B14</f>
        <v/>
      </c>
      <c r="G12" s="16">
        <f>G8*'Premissas'!B14</f>
        <v/>
      </c>
      <c r="H12" s="16">
        <f>H8*'Premissas'!B14</f>
        <v/>
      </c>
      <c r="I12" s="16">
        <f>I8*'Premissas'!B14</f>
        <v/>
      </c>
      <c r="J12" s="16">
        <f>J8*'Premissas'!B14</f>
        <v/>
      </c>
      <c r="K12" s="16">
        <f>K8*'Premissas'!B14</f>
        <v/>
      </c>
      <c r="L12" s="16">
        <f>L8*'Premissas'!B14</f>
        <v/>
      </c>
      <c r="M12" s="16">
        <f>M8*'Premissas'!B14</f>
        <v/>
      </c>
      <c r="N12" s="16">
        <f>SUM(B12:M12)</f>
        <v/>
      </c>
    </row>
    <row r="13">
      <c r="A13" s="8" t="inlineStr">
        <is>
          <t>Receita — Água 20L</t>
        </is>
      </c>
      <c r="B13" s="16">
        <f>B9*'Premissas'!B18</f>
        <v/>
      </c>
      <c r="C13" s="16">
        <f>C9*'Premissas'!B18</f>
        <v/>
      </c>
      <c r="D13" s="16">
        <f>D9*'Premissas'!B18</f>
        <v/>
      </c>
      <c r="E13" s="16">
        <f>E9*'Premissas'!B18</f>
        <v/>
      </c>
      <c r="F13" s="16">
        <f>F9*'Premissas'!B18</f>
        <v/>
      </c>
      <c r="G13" s="16">
        <f>G9*'Premissas'!B18</f>
        <v/>
      </c>
      <c r="H13" s="16">
        <f>H9*'Premissas'!B18</f>
        <v/>
      </c>
      <c r="I13" s="16">
        <f>I9*'Premissas'!B18</f>
        <v/>
      </c>
      <c r="J13" s="16">
        <f>J9*'Premissas'!B18</f>
        <v/>
      </c>
      <c r="K13" s="16">
        <f>K9*'Premissas'!B18</f>
        <v/>
      </c>
      <c r="L13" s="16">
        <f>L9*'Premissas'!B18</f>
        <v/>
      </c>
      <c r="M13" s="16">
        <f>M9*'Premissas'!B18</f>
        <v/>
      </c>
      <c r="N13" s="16">
        <f>SUM(B13:M13)</f>
        <v/>
      </c>
    </row>
    <row r="14">
      <c r="A14" s="24" t="inlineStr">
        <is>
          <t>RECEITA BRUTA TOTAL</t>
        </is>
      </c>
      <c r="B14" s="25">
        <f>B12+B13</f>
        <v/>
      </c>
      <c r="C14" s="25">
        <f>C12+C13</f>
        <v/>
      </c>
      <c r="D14" s="25">
        <f>D12+D13</f>
        <v/>
      </c>
      <c r="E14" s="25">
        <f>E12+E13</f>
        <v/>
      </c>
      <c r="F14" s="25">
        <f>F12+F13</f>
        <v/>
      </c>
      <c r="G14" s="25">
        <f>G12+G13</f>
        <v/>
      </c>
      <c r="H14" s="25">
        <f>H12+H13</f>
        <v/>
      </c>
      <c r="I14" s="25">
        <f>I12+I13</f>
        <v/>
      </c>
      <c r="J14" s="25">
        <f>J12+J13</f>
        <v/>
      </c>
      <c r="K14" s="25">
        <f>K12+K13</f>
        <v/>
      </c>
      <c r="L14" s="25">
        <f>L12+L13</f>
        <v/>
      </c>
      <c r="M14" s="25">
        <f>M12+M13</f>
        <v/>
      </c>
      <c r="N14" s="25">
        <f>SUM(B14:M14)</f>
        <v/>
      </c>
    </row>
    <row r="15">
      <c r="A15" s="8" t="inlineStr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</row>
    <row r="16">
      <c r="A16" s="26" t="inlineStr">
        <is>
          <t>IMPOSTOS (Simples Nacional)</t>
        </is>
      </c>
      <c r="B16" s="27">
        <f>B14*'Premissas'!B23</f>
        <v/>
      </c>
      <c r="C16" s="27">
        <f>C14*'Premissas'!B23</f>
        <v/>
      </c>
      <c r="D16" s="27">
        <f>D14*'Premissas'!B23</f>
        <v/>
      </c>
      <c r="E16" s="27">
        <f>E14*'Premissas'!B23</f>
        <v/>
      </c>
      <c r="F16" s="27">
        <f>F14*'Premissas'!B23</f>
        <v/>
      </c>
      <c r="G16" s="27">
        <f>G14*'Premissas'!B23</f>
        <v/>
      </c>
      <c r="H16" s="27">
        <f>H14*'Premissas'!B23</f>
        <v/>
      </c>
      <c r="I16" s="27">
        <f>I14*'Premissas'!B23</f>
        <v/>
      </c>
      <c r="J16" s="27">
        <f>J14*'Premissas'!B23</f>
        <v/>
      </c>
      <c r="K16" s="27">
        <f>K14*'Premissas'!B23</f>
        <v/>
      </c>
      <c r="L16" s="27">
        <f>L14*'Premissas'!B23</f>
        <v/>
      </c>
      <c r="M16" s="27">
        <f>M14*'Premissas'!B23</f>
        <v/>
      </c>
      <c r="N16" s="27">
        <f>SUM(B16:M16)</f>
        <v/>
      </c>
    </row>
    <row r="17">
      <c r="A17" s="28" t="inlineStr">
        <is>
          <t>RECEITA LÍQUIDA</t>
        </is>
      </c>
      <c r="B17" s="29">
        <f>B14-B16</f>
        <v/>
      </c>
      <c r="C17" s="29">
        <f>C14-C16</f>
        <v/>
      </c>
      <c r="D17" s="29">
        <f>D14-D16</f>
        <v/>
      </c>
      <c r="E17" s="29">
        <f>E14-E16</f>
        <v/>
      </c>
      <c r="F17" s="29">
        <f>F14-F16</f>
        <v/>
      </c>
      <c r="G17" s="29">
        <f>G14-G16</f>
        <v/>
      </c>
      <c r="H17" s="29">
        <f>H14-H16</f>
        <v/>
      </c>
      <c r="I17" s="29">
        <f>I14-I16</f>
        <v/>
      </c>
      <c r="J17" s="29">
        <f>J14-J16</f>
        <v/>
      </c>
      <c r="K17" s="29">
        <f>K14-K16</f>
        <v/>
      </c>
      <c r="L17" s="29">
        <f>L14-L16</f>
        <v/>
      </c>
      <c r="M17" s="29">
        <f>M14-M16</f>
        <v/>
      </c>
      <c r="N17" s="29">
        <f>SUM(B17:M17)</f>
        <v/>
      </c>
    </row>
    <row r="18">
      <c r="A18" s="8" t="inlineStr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</row>
    <row r="19">
      <c r="A19" s="22" t="inlineStr">
        <is>
          <t>CUSTO DAS MERCADORIAS (CMV)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8" t="inlineStr">
        <is>
          <t>CMV — Gás P13</t>
        </is>
      </c>
      <c r="B20" s="16">
        <f>B8*'Premissas'!B15</f>
        <v/>
      </c>
      <c r="C20" s="16">
        <f>C8*'Premissas'!B15</f>
        <v/>
      </c>
      <c r="D20" s="16">
        <f>D8*'Premissas'!B15</f>
        <v/>
      </c>
      <c r="E20" s="16">
        <f>E8*'Premissas'!B15</f>
        <v/>
      </c>
      <c r="F20" s="16">
        <f>F8*'Premissas'!B15</f>
        <v/>
      </c>
      <c r="G20" s="16">
        <f>G8*'Premissas'!B15</f>
        <v/>
      </c>
      <c r="H20" s="16">
        <f>H8*'Premissas'!B15</f>
        <v/>
      </c>
      <c r="I20" s="16">
        <f>I8*'Premissas'!B15</f>
        <v/>
      </c>
      <c r="J20" s="16">
        <f>J8*'Premissas'!B15</f>
        <v/>
      </c>
      <c r="K20" s="16">
        <f>K8*'Premissas'!B15</f>
        <v/>
      </c>
      <c r="L20" s="16">
        <f>L8*'Premissas'!B15</f>
        <v/>
      </c>
      <c r="M20" s="16">
        <f>M8*'Premissas'!B15</f>
        <v/>
      </c>
      <c r="N20" s="16">
        <f>SUM(B20:M20)</f>
        <v/>
      </c>
    </row>
    <row r="21">
      <c r="A21" s="8" t="inlineStr">
        <is>
          <t>CMV — Água 20L</t>
        </is>
      </c>
      <c r="B21" s="16">
        <f>B9*'Premissas'!B19</f>
        <v/>
      </c>
      <c r="C21" s="16">
        <f>C9*'Premissas'!B19</f>
        <v/>
      </c>
      <c r="D21" s="16">
        <f>D9*'Premissas'!B19</f>
        <v/>
      </c>
      <c r="E21" s="16">
        <f>E9*'Premissas'!B19</f>
        <v/>
      </c>
      <c r="F21" s="16">
        <f>F9*'Premissas'!B19</f>
        <v/>
      </c>
      <c r="G21" s="16">
        <f>G9*'Premissas'!B19</f>
        <v/>
      </c>
      <c r="H21" s="16">
        <f>H9*'Premissas'!B19</f>
        <v/>
      </c>
      <c r="I21" s="16">
        <f>I9*'Premissas'!B19</f>
        <v/>
      </c>
      <c r="J21" s="16">
        <f>J9*'Premissas'!B19</f>
        <v/>
      </c>
      <c r="K21" s="16">
        <f>K9*'Premissas'!B19</f>
        <v/>
      </c>
      <c r="L21" s="16">
        <f>L9*'Premissas'!B19</f>
        <v/>
      </c>
      <c r="M21" s="16">
        <f>M9*'Premissas'!B19</f>
        <v/>
      </c>
      <c r="N21" s="16">
        <f>SUM(B21:M21)</f>
        <v/>
      </c>
    </row>
    <row r="22">
      <c r="A22" s="30" t="inlineStr">
        <is>
          <t>CMV TOTAL</t>
        </is>
      </c>
      <c r="B22" s="31">
        <f>B20+B21</f>
        <v/>
      </c>
      <c r="C22" s="31">
        <f>C20+C21</f>
        <v/>
      </c>
      <c r="D22" s="31">
        <f>D20+D21</f>
        <v/>
      </c>
      <c r="E22" s="31">
        <f>E20+E21</f>
        <v/>
      </c>
      <c r="F22" s="31">
        <f>F20+F21</f>
        <v/>
      </c>
      <c r="G22" s="31">
        <f>G20+G21</f>
        <v/>
      </c>
      <c r="H22" s="31">
        <f>H20+H21</f>
        <v/>
      </c>
      <c r="I22" s="31">
        <f>I20+I21</f>
        <v/>
      </c>
      <c r="J22" s="31">
        <f>J20+J21</f>
        <v/>
      </c>
      <c r="K22" s="31">
        <f>K20+K21</f>
        <v/>
      </c>
      <c r="L22" s="31">
        <f>L20+L21</f>
        <v/>
      </c>
      <c r="M22" s="31">
        <f>M20+M21</f>
        <v/>
      </c>
      <c r="N22" s="31">
        <f>SUM(B22:M22)</f>
        <v/>
      </c>
    </row>
    <row r="23">
      <c r="A23" s="8" t="inlineStr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</row>
    <row r="24">
      <c r="A24" s="24" t="inlineStr">
        <is>
          <t>LUCRO BRUTO</t>
        </is>
      </c>
      <c r="B24" s="25">
        <f>B17-B22</f>
        <v/>
      </c>
      <c r="C24" s="25">
        <f>C17-C22</f>
        <v/>
      </c>
      <c r="D24" s="25">
        <f>D17-D22</f>
        <v/>
      </c>
      <c r="E24" s="25">
        <f>E17-E22</f>
        <v/>
      </c>
      <c r="F24" s="25">
        <f>F17-F22</f>
        <v/>
      </c>
      <c r="G24" s="25">
        <f>G17-G22</f>
        <v/>
      </c>
      <c r="H24" s="25">
        <f>H17-H22</f>
        <v/>
      </c>
      <c r="I24" s="25">
        <f>I17-I22</f>
        <v/>
      </c>
      <c r="J24" s="25">
        <f>J17-J22</f>
        <v/>
      </c>
      <c r="K24" s="25">
        <f>K17-K22</f>
        <v/>
      </c>
      <c r="L24" s="25">
        <f>L17-L22</f>
        <v/>
      </c>
      <c r="M24" s="25">
        <f>M17-M22</f>
        <v/>
      </c>
      <c r="N24" s="25">
        <f>SUM(B24:M24)</f>
        <v/>
      </c>
    </row>
    <row r="25">
      <c r="A25" s="8" t="inlineStr">
        <is>
          <t>Margem Bruta %</t>
        </is>
      </c>
      <c r="B25" s="32">
        <f>IF(B14=0,0,B24/B14)</f>
        <v/>
      </c>
      <c r="C25" s="32">
        <f>IF(C14=0,0,C24/C14)</f>
        <v/>
      </c>
      <c r="D25" s="32">
        <f>IF(D14=0,0,D24/D14)</f>
        <v/>
      </c>
      <c r="E25" s="32">
        <f>IF(E14=0,0,E24/E14)</f>
        <v/>
      </c>
      <c r="F25" s="32">
        <f>IF(F14=0,0,F24/F14)</f>
        <v/>
      </c>
      <c r="G25" s="32">
        <f>IF(G14=0,0,G24/G14)</f>
        <v/>
      </c>
      <c r="H25" s="32">
        <f>IF(H14=0,0,H24/H14)</f>
        <v/>
      </c>
      <c r="I25" s="32">
        <f>IF(I14=0,0,I24/I14)</f>
        <v/>
      </c>
      <c r="J25" s="32">
        <f>IF(J14=0,0,J24/J14)</f>
        <v/>
      </c>
      <c r="K25" s="32">
        <f>IF(K14=0,0,K24/K14)</f>
        <v/>
      </c>
      <c r="L25" s="32">
        <f>IF(L14=0,0,L24/L14)</f>
        <v/>
      </c>
      <c r="M25" s="32">
        <f>IF(M14=0,0,M24/M14)</f>
        <v/>
      </c>
      <c r="N25" s="32">
        <f>IF(N14=0,0,N24/N14)</f>
        <v/>
      </c>
    </row>
    <row r="26">
      <c r="A26" s="8" t="inlineStr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</row>
    <row r="27">
      <c r="A27" s="22" t="inlineStr">
        <is>
          <t>CUSTOS FIXOS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8" t="inlineStr">
        <is>
          <t>Funcionário + encargos</t>
        </is>
      </c>
      <c r="B28" s="19">
        <f>'Premissas'!B56</f>
        <v/>
      </c>
      <c r="C28" s="19">
        <f>'Premissas'!B56</f>
        <v/>
      </c>
      <c r="D28" s="19">
        <f>'Premissas'!B56</f>
        <v/>
      </c>
      <c r="E28" s="19">
        <f>'Premissas'!B56</f>
        <v/>
      </c>
      <c r="F28" s="19">
        <f>'Premissas'!B56</f>
        <v/>
      </c>
      <c r="G28" s="19">
        <f>'Premissas'!B56</f>
        <v/>
      </c>
      <c r="H28" s="19">
        <f>'Premissas'!B56</f>
        <v/>
      </c>
      <c r="I28" s="19">
        <f>'Premissas'!B56</f>
        <v/>
      </c>
      <c r="J28" s="19">
        <f>'Premissas'!B56</f>
        <v/>
      </c>
      <c r="K28" s="19">
        <f>'Premissas'!B56</f>
        <v/>
      </c>
      <c r="L28" s="19">
        <f>'Premissas'!B56</f>
        <v/>
      </c>
      <c r="M28" s="19">
        <f>'Premissas'!B56</f>
        <v/>
      </c>
      <c r="N28" s="16">
        <f>SUM(B28:M28)</f>
        <v/>
      </c>
    </row>
    <row r="29">
      <c r="A29" s="8" t="inlineStr">
        <is>
          <t>Contador</t>
        </is>
      </c>
      <c r="B29" s="19">
        <f>'Premissas'!B57</f>
        <v/>
      </c>
      <c r="C29" s="19">
        <f>'Premissas'!B57</f>
        <v/>
      </c>
      <c r="D29" s="19">
        <f>'Premissas'!B57</f>
        <v/>
      </c>
      <c r="E29" s="19">
        <f>'Premissas'!B57</f>
        <v/>
      </c>
      <c r="F29" s="19">
        <f>'Premissas'!B57</f>
        <v/>
      </c>
      <c r="G29" s="19">
        <f>'Premissas'!B57</f>
        <v/>
      </c>
      <c r="H29" s="19">
        <f>'Premissas'!B57</f>
        <v/>
      </c>
      <c r="I29" s="19">
        <f>'Premissas'!B57</f>
        <v/>
      </c>
      <c r="J29" s="19">
        <f>'Premissas'!B57</f>
        <v/>
      </c>
      <c r="K29" s="19">
        <f>'Premissas'!B57</f>
        <v/>
      </c>
      <c r="L29" s="19">
        <f>'Premissas'!B57</f>
        <v/>
      </c>
      <c r="M29" s="19">
        <f>'Premissas'!B57</f>
        <v/>
      </c>
      <c r="N29" s="16">
        <f>SUM(B29:M29)</f>
        <v/>
      </c>
    </row>
    <row r="30">
      <c r="A30" s="8" t="inlineStr">
        <is>
          <t>Energia + água + internet</t>
        </is>
      </c>
      <c r="B30" s="19">
        <f>'Premissas'!B58+'Premissas'!B59</f>
        <v/>
      </c>
      <c r="C30" s="19">
        <f>'Premissas'!B58+'Premissas'!B59</f>
        <v/>
      </c>
      <c r="D30" s="19">
        <f>'Premissas'!B58+'Premissas'!B59</f>
        <v/>
      </c>
      <c r="E30" s="19">
        <f>'Premissas'!B58+'Premissas'!B59</f>
        <v/>
      </c>
      <c r="F30" s="19">
        <f>'Premissas'!B58+'Premissas'!B59</f>
        <v/>
      </c>
      <c r="G30" s="19">
        <f>'Premissas'!B58+'Premissas'!B59</f>
        <v/>
      </c>
      <c r="H30" s="19">
        <f>'Premissas'!B58+'Premissas'!B59</f>
        <v/>
      </c>
      <c r="I30" s="19">
        <f>'Premissas'!B58+'Premissas'!B59</f>
        <v/>
      </c>
      <c r="J30" s="19">
        <f>'Premissas'!B58+'Premissas'!B59</f>
        <v/>
      </c>
      <c r="K30" s="19">
        <f>'Premissas'!B58+'Premissas'!B59</f>
        <v/>
      </c>
      <c r="L30" s="19">
        <f>'Premissas'!B58+'Premissas'!B59</f>
        <v/>
      </c>
      <c r="M30" s="19">
        <f>'Premissas'!B58+'Premissas'!B59</f>
        <v/>
      </c>
      <c r="N30" s="16">
        <f>SUM(B30:M30)</f>
        <v/>
      </c>
    </row>
    <row r="31">
      <c r="A31" s="8" t="inlineStr">
        <is>
          <t>Manutenção</t>
        </is>
      </c>
      <c r="B31" s="19">
        <f>'Premissas'!B60</f>
        <v/>
      </c>
      <c r="C31" s="19">
        <f>'Premissas'!B60</f>
        <v/>
      </c>
      <c r="D31" s="19">
        <f>'Premissas'!B60</f>
        <v/>
      </c>
      <c r="E31" s="19">
        <f>'Premissas'!B60</f>
        <v/>
      </c>
      <c r="F31" s="19">
        <f>'Premissas'!B60</f>
        <v/>
      </c>
      <c r="G31" s="19">
        <f>'Premissas'!B60</f>
        <v/>
      </c>
      <c r="H31" s="19">
        <f>'Premissas'!B60</f>
        <v/>
      </c>
      <c r="I31" s="19">
        <f>'Premissas'!B60</f>
        <v/>
      </c>
      <c r="J31" s="19">
        <f>'Premissas'!B60</f>
        <v/>
      </c>
      <c r="K31" s="19">
        <f>'Premissas'!B60</f>
        <v/>
      </c>
      <c r="L31" s="19">
        <f>'Premissas'!B60</f>
        <v/>
      </c>
      <c r="M31" s="19">
        <f>'Premissas'!B60</f>
        <v/>
      </c>
      <c r="N31" s="16">
        <f>SUM(B31:M31)</f>
        <v/>
      </c>
    </row>
    <row r="32">
      <c r="A32" s="8" t="inlineStr">
        <is>
          <t>Entrega (combustível)</t>
        </is>
      </c>
      <c r="B32" s="19">
        <f>'Premissas'!B62</f>
        <v/>
      </c>
      <c r="C32" s="19">
        <f>'Premissas'!B62</f>
        <v/>
      </c>
      <c r="D32" s="19">
        <f>'Premissas'!B62</f>
        <v/>
      </c>
      <c r="E32" s="19">
        <f>'Premissas'!B62</f>
        <v/>
      </c>
      <c r="F32" s="19">
        <f>'Premissas'!B62</f>
        <v/>
      </c>
      <c r="G32" s="19">
        <f>'Premissas'!B62</f>
        <v/>
      </c>
      <c r="H32" s="19">
        <f>'Premissas'!B62</f>
        <v/>
      </c>
      <c r="I32" s="19">
        <f>'Premissas'!B62</f>
        <v/>
      </c>
      <c r="J32" s="19">
        <f>'Premissas'!B62</f>
        <v/>
      </c>
      <c r="K32" s="19">
        <f>'Premissas'!B62</f>
        <v/>
      </c>
      <c r="L32" s="19">
        <f>'Premissas'!B62</f>
        <v/>
      </c>
      <c r="M32" s="19">
        <f>'Premissas'!B62</f>
        <v/>
      </c>
      <c r="N32" s="16">
        <f>SUM(B32:M32)</f>
        <v/>
      </c>
    </row>
    <row r="33">
      <c r="A33" s="8" t="inlineStr">
        <is>
          <t>Marketing</t>
        </is>
      </c>
      <c r="B33" s="19">
        <f>'Premissas'!B63</f>
        <v/>
      </c>
      <c r="C33" s="19">
        <f>'Premissas'!B63</f>
        <v/>
      </c>
      <c r="D33" s="19">
        <f>'Premissas'!B63</f>
        <v/>
      </c>
      <c r="E33" s="19">
        <f>'Premissas'!B63</f>
        <v/>
      </c>
      <c r="F33" s="19">
        <f>'Premissas'!B63</f>
        <v/>
      </c>
      <c r="G33" s="19">
        <f>'Premissas'!B63</f>
        <v/>
      </c>
      <c r="H33" s="19">
        <f>'Premissas'!B63</f>
        <v/>
      </c>
      <c r="I33" s="19">
        <f>'Premissas'!B63</f>
        <v/>
      </c>
      <c r="J33" s="19">
        <f>'Premissas'!B63</f>
        <v/>
      </c>
      <c r="K33" s="19">
        <f>'Premissas'!B63</f>
        <v/>
      </c>
      <c r="L33" s="19">
        <f>'Premissas'!B63</f>
        <v/>
      </c>
      <c r="M33" s="19">
        <f>'Premissas'!B63</f>
        <v/>
      </c>
      <c r="N33" s="16">
        <f>SUM(B33:M33)</f>
        <v/>
      </c>
    </row>
    <row r="34">
      <c r="A34" s="30" t="inlineStr">
        <is>
          <t>TOTAL CUSTOS FIXOS</t>
        </is>
      </c>
      <c r="B34" s="31">
        <f>SUM(B28:B33)</f>
        <v/>
      </c>
      <c r="C34" s="31">
        <f>SUM(C28:C33)</f>
        <v/>
      </c>
      <c r="D34" s="31">
        <f>SUM(D28:D33)</f>
        <v/>
      </c>
      <c r="E34" s="31">
        <f>SUM(E28:E33)</f>
        <v/>
      </c>
      <c r="F34" s="31">
        <f>SUM(F28:F33)</f>
        <v/>
      </c>
      <c r="G34" s="31">
        <f>SUM(G28:G33)</f>
        <v/>
      </c>
      <c r="H34" s="31">
        <f>SUM(H28:H33)</f>
        <v/>
      </c>
      <c r="I34" s="31">
        <f>SUM(I28:I33)</f>
        <v/>
      </c>
      <c r="J34" s="31">
        <f>SUM(J28:J33)</f>
        <v/>
      </c>
      <c r="K34" s="31">
        <f>SUM(K28:K33)</f>
        <v/>
      </c>
      <c r="L34" s="31">
        <f>SUM(L28:L33)</f>
        <v/>
      </c>
      <c r="M34" s="31">
        <f>SUM(M28:M33)</f>
        <v/>
      </c>
      <c r="N34" s="31">
        <f>SUM(B34:M34)</f>
        <v/>
      </c>
    </row>
    <row r="35">
      <c r="A35" s="8" t="inlineStr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</row>
    <row r="36">
      <c r="A36" s="24" t="inlineStr">
        <is>
          <t>LUCRO OPERACIONAL (EBITDA)</t>
        </is>
      </c>
      <c r="B36" s="25">
        <f>B24-B34</f>
        <v/>
      </c>
      <c r="C36" s="25">
        <f>C24-C34</f>
        <v/>
      </c>
      <c r="D36" s="25">
        <f>D24-D34</f>
        <v/>
      </c>
      <c r="E36" s="25">
        <f>E24-E34</f>
        <v/>
      </c>
      <c r="F36" s="25">
        <f>F24-F34</f>
        <v/>
      </c>
      <c r="G36" s="25">
        <f>G24-G34</f>
        <v/>
      </c>
      <c r="H36" s="25">
        <f>H24-H34</f>
        <v/>
      </c>
      <c r="I36" s="25">
        <f>I24-I34</f>
        <v/>
      </c>
      <c r="J36" s="25">
        <f>J24-J34</f>
        <v/>
      </c>
      <c r="K36" s="25">
        <f>K24-K34</f>
        <v/>
      </c>
      <c r="L36" s="25">
        <f>L24-L34</f>
        <v/>
      </c>
      <c r="M36" s="25">
        <f>M24-M34</f>
        <v/>
      </c>
      <c r="N36" s="25">
        <f>SUM(B36:M36)</f>
        <v/>
      </c>
    </row>
    <row r="37">
      <c r="A37" s="8" t="inlineStr">
        <is>
          <t>Margem EBITDA %</t>
        </is>
      </c>
      <c r="B37" s="32">
        <f>IF(B14=0,0,B36/B14)</f>
        <v/>
      </c>
      <c r="C37" s="32">
        <f>IF(C14=0,0,C36/C14)</f>
        <v/>
      </c>
      <c r="D37" s="32">
        <f>IF(D14=0,0,D36/D14)</f>
        <v/>
      </c>
      <c r="E37" s="32">
        <f>IF(E14=0,0,E36/E14)</f>
        <v/>
      </c>
      <c r="F37" s="32">
        <f>IF(F14=0,0,F36/F14)</f>
        <v/>
      </c>
      <c r="G37" s="32">
        <f>IF(G14=0,0,G36/G14)</f>
        <v/>
      </c>
      <c r="H37" s="32">
        <f>IF(H14=0,0,H36/H14)</f>
        <v/>
      </c>
      <c r="I37" s="32">
        <f>IF(I14=0,0,I36/I14)</f>
        <v/>
      </c>
      <c r="J37" s="32">
        <f>IF(J14=0,0,J36/J14)</f>
        <v/>
      </c>
      <c r="K37" s="32">
        <f>IF(K14=0,0,K36/K14)</f>
        <v/>
      </c>
      <c r="L37" s="32">
        <f>IF(L14=0,0,L36/L14)</f>
        <v/>
      </c>
      <c r="M37" s="32">
        <f>IF(M14=0,0,M36/M14)</f>
        <v/>
      </c>
      <c r="N37" s="32">
        <f>IF(N14=0,0,N36/N14)</f>
        <v/>
      </c>
    </row>
    <row r="38">
      <c r="A38" s="8" t="inlineStr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</row>
    <row r="39">
      <c r="A39" s="33" t="inlineStr">
        <is>
          <t>LUCRO ACUMULADO</t>
        </is>
      </c>
      <c r="B39" s="34">
        <f>B36</f>
        <v/>
      </c>
      <c r="C39" s="34">
        <f>B39+C36</f>
        <v/>
      </c>
      <c r="D39" s="34">
        <f>C39+D36</f>
        <v/>
      </c>
      <c r="E39" s="34">
        <f>D39+E36</f>
        <v/>
      </c>
      <c r="F39" s="34">
        <f>E39+F36</f>
        <v/>
      </c>
      <c r="G39" s="34">
        <f>F39+G36</f>
        <v/>
      </c>
      <c r="H39" s="34">
        <f>G39+H36</f>
        <v/>
      </c>
      <c r="I39" s="34">
        <f>H39+I36</f>
        <v/>
      </c>
      <c r="J39" s="34">
        <f>I39+J36</f>
        <v/>
      </c>
      <c r="K39" s="34">
        <f>J39+K36</f>
        <v/>
      </c>
      <c r="L39" s="34">
        <f>K39+L36</f>
        <v/>
      </c>
      <c r="M39" s="34">
        <f>L39+M36</f>
        <v/>
      </c>
      <c r="N39" s="34">
        <f>M39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COMPARATIVO DE CENÁRIOS — RESUMO ANUAL</t>
        </is>
      </c>
    </row>
    <row r="3">
      <c r="A3" s="35" t="inlineStr">
        <is>
          <t>Indicador</t>
        </is>
      </c>
      <c r="B3" s="35" t="inlineStr">
        <is>
          <t>Pessimista</t>
        </is>
      </c>
      <c r="C3" s="35" t="inlineStr">
        <is>
          <t>Realista</t>
        </is>
      </c>
      <c r="D3" s="35" t="inlineStr">
        <is>
          <t>Otimista</t>
        </is>
      </c>
    </row>
    <row r="4">
      <c r="A4" s="8" t="inlineStr">
        <is>
          <t>Gás P13 — vendas/mês (maduro)</t>
        </is>
      </c>
      <c r="B4" s="14">
        <f>'Premissas'!B33</f>
        <v/>
      </c>
      <c r="C4" s="14">
        <f>'Premissas'!C33</f>
        <v/>
      </c>
      <c r="D4" s="14">
        <f>'Premissas'!D33</f>
        <v/>
      </c>
    </row>
    <row r="5">
      <c r="A5" s="8" t="inlineStr">
        <is>
          <t>Água 20L — vendas/mês (maduro)</t>
        </is>
      </c>
      <c r="B5" s="14">
        <f>'Premissas'!B34</f>
        <v/>
      </c>
      <c r="C5" s="14">
        <f>'Premissas'!C34</f>
        <v/>
      </c>
      <c r="D5" s="14">
        <f>'Premissas'!D34</f>
        <v/>
      </c>
    </row>
    <row r="6">
      <c r="A6" s="8" t="inlineStr"/>
      <c r="B6" s="8" t="n"/>
      <c r="C6" s="8" t="n"/>
      <c r="D6" s="8" t="n"/>
    </row>
    <row r="7">
      <c r="A7" s="8" t="inlineStr">
        <is>
          <t>Receita mensal — Gás (madura)</t>
        </is>
      </c>
      <c r="B7" s="16">
        <f>'Premissas'!B33*'Premissas'!B14</f>
        <v/>
      </c>
      <c r="C7" s="16">
        <f>'Premissas'!C33*'Premissas'!B14</f>
        <v/>
      </c>
      <c r="D7" s="16">
        <f>'Premissas'!D33*'Premissas'!B14</f>
        <v/>
      </c>
    </row>
    <row r="8">
      <c r="A8" s="8" t="inlineStr">
        <is>
          <t>Receita mensal — Água (madura)</t>
        </is>
      </c>
      <c r="B8" s="16">
        <f>'Premissas'!B34*'Premissas'!B18</f>
        <v/>
      </c>
      <c r="C8" s="16">
        <f>'Premissas'!C34*'Premissas'!B18</f>
        <v/>
      </c>
      <c r="D8" s="16">
        <f>'Premissas'!D34*'Premissas'!B18</f>
        <v/>
      </c>
    </row>
    <row r="9">
      <c r="A9" s="24" t="inlineStr">
        <is>
          <t>RECEITA MENSAL TOTAL</t>
        </is>
      </c>
      <c r="B9" s="31">
        <f>B7+B8</f>
        <v/>
      </c>
      <c r="C9" s="34">
        <f>C7+C8</f>
        <v/>
      </c>
      <c r="D9" s="25">
        <f>D7+D8</f>
        <v/>
      </c>
    </row>
    <row r="10">
      <c r="A10" s="8" t="inlineStr"/>
      <c r="B10" s="8" t="n"/>
      <c r="C10" s="8" t="n"/>
      <c r="D10" s="8" t="n"/>
    </row>
    <row r="11">
      <c r="A11" s="8" t="inlineStr">
        <is>
          <t>CMV mensal — Gás</t>
        </is>
      </c>
      <c r="B11" s="16">
        <f>'Premissas'!B33*'Premissas'!B15</f>
        <v/>
      </c>
      <c r="C11" s="16">
        <f>'Premissas'!C33*'Premissas'!B15</f>
        <v/>
      </c>
      <c r="D11" s="16">
        <f>'Premissas'!D33*'Premissas'!B15</f>
        <v/>
      </c>
    </row>
    <row r="12">
      <c r="A12" s="8" t="inlineStr">
        <is>
          <t>CMV mensal — Água</t>
        </is>
      </c>
      <c r="B12" s="16">
        <f>'Premissas'!B34*'Premissas'!B19</f>
        <v/>
      </c>
      <c r="C12" s="16">
        <f>'Premissas'!C34*'Premissas'!B19</f>
        <v/>
      </c>
      <c r="D12" s="16">
        <f>'Premissas'!D34*'Premissas'!B19</f>
        <v/>
      </c>
    </row>
    <row r="13">
      <c r="A13" s="28" t="inlineStr">
        <is>
          <t>CMV MENSAL TOTAL</t>
        </is>
      </c>
      <c r="B13" s="29">
        <f>B11+B12</f>
        <v/>
      </c>
      <c r="C13" s="29">
        <f>C11+C12</f>
        <v/>
      </c>
      <c r="D13" s="29">
        <f>D11+D12</f>
        <v/>
      </c>
    </row>
    <row r="14">
      <c r="A14" s="8" t="inlineStr"/>
      <c r="B14" s="8" t="n"/>
      <c r="C14" s="8" t="n"/>
      <c r="D14" s="8" t="n"/>
    </row>
    <row r="15">
      <c r="A15" s="8" t="inlineStr">
        <is>
          <t>Impostos (Simples)</t>
        </is>
      </c>
      <c r="B15" s="16">
        <f>B9*'Premissas'!B23</f>
        <v/>
      </c>
      <c r="C15" s="16">
        <f>C9*'Premissas'!B23</f>
        <v/>
      </c>
      <c r="D15" s="16">
        <f>D9*'Premissas'!B23</f>
        <v/>
      </c>
    </row>
    <row r="16">
      <c r="A16" s="8" t="inlineStr">
        <is>
          <t>Custos fixos mensais</t>
        </is>
      </c>
      <c r="B16" s="16">
        <f>'Premissas'!B65</f>
        <v/>
      </c>
      <c r="C16" s="16">
        <f>'Premissas'!B65</f>
        <v/>
      </c>
      <c r="D16" s="16">
        <f>'Premissas'!B65</f>
        <v/>
      </c>
    </row>
    <row r="17">
      <c r="A17" s="8" t="inlineStr"/>
      <c r="B17" s="8" t="n"/>
      <c r="C17" s="8" t="n"/>
      <c r="D17" s="8" t="n"/>
    </row>
    <row r="18">
      <c r="A18" s="24" t="inlineStr">
        <is>
          <t>LUCRO OPERACIONAL/MÊS</t>
        </is>
      </c>
      <c r="B18" s="31">
        <f>B9-B13-B15-B16</f>
        <v/>
      </c>
      <c r="C18" s="34">
        <f>C9-C13-C15-C16</f>
        <v/>
      </c>
      <c r="D18" s="25">
        <f>D9-D13-D15-D16</f>
        <v/>
      </c>
    </row>
    <row r="19">
      <c r="A19" s="8" t="inlineStr">
        <is>
          <t>Margem operacional %</t>
        </is>
      </c>
      <c r="B19" s="32">
        <f>IF(B9=0,0,B18/B9)</f>
        <v/>
      </c>
      <c r="C19" s="32">
        <f>IF(C9=0,0,C18/C9)</f>
        <v/>
      </c>
      <c r="D19" s="32">
        <f>IF(D9=0,0,D18/D9)</f>
        <v/>
      </c>
    </row>
    <row r="20">
      <c r="A20" s="8" t="inlineStr"/>
      <c r="B20" s="8" t="n"/>
      <c r="C20" s="8" t="n"/>
      <c r="D20" s="8" t="n"/>
    </row>
    <row r="21">
      <c r="A21" s="24" t="inlineStr">
        <is>
          <t>LUCRO ANUAL (12 meses)</t>
        </is>
      </c>
      <c r="B21" s="31">
        <f>B18*12</f>
        <v/>
      </c>
      <c r="C21" s="34">
        <f>C18*12</f>
        <v/>
      </c>
      <c r="D21" s="25">
        <f>D18*12</f>
        <v/>
      </c>
    </row>
    <row r="22">
      <c r="A22" s="8" t="inlineStr">
        <is>
          <t>Investimento inicial</t>
        </is>
      </c>
      <c r="B22" s="16">
        <f>'Premissas'!B51</f>
        <v/>
      </c>
      <c r="C22" s="16">
        <f>'Premissas'!B51</f>
        <v/>
      </c>
      <c r="D22" s="16">
        <f>'Premissas'!B51</f>
        <v/>
      </c>
    </row>
    <row r="23">
      <c r="A23" s="28" t="inlineStr">
        <is>
          <t>Payback (meses)</t>
        </is>
      </c>
      <c r="B23" s="36">
        <f>IF(B18&lt;=0,"N/A",B22/B18)</f>
        <v/>
      </c>
      <c r="C23" s="36">
        <f>IF(C18&lt;=0,"N/A",C22/C18)</f>
        <v/>
      </c>
      <c r="D23" s="36">
        <f>IF(D18&lt;=0,"N/A",D22/D18)</f>
        <v/>
      </c>
    </row>
    <row r="24">
      <c r="A24" s="28" t="inlineStr">
        <is>
          <t>ROI anual</t>
        </is>
      </c>
      <c r="B24" s="37">
        <f>IF(B22=0,0,B21/B22)</f>
        <v/>
      </c>
      <c r="C24" s="37">
        <f>IF(C22=0,0,C21/C22)</f>
        <v/>
      </c>
      <c r="D24" s="37">
        <f>IF(D22=0,0,D21/D22)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FLUXO DE CAIXA — 12 MESES — CENÁRIO REALISTA</t>
        </is>
      </c>
    </row>
    <row r="3">
      <c r="A3" s="20" t="inlineStr">
        <is>
          <t>Item</t>
        </is>
      </c>
      <c r="B3" s="20" t="inlineStr">
        <is>
          <t>Mês 0
(Investimento)</t>
        </is>
      </c>
      <c r="C3" s="20" t="inlineStr">
        <is>
          <t>Mês 1</t>
        </is>
      </c>
      <c r="D3" s="20" t="inlineStr">
        <is>
          <t>Mês 2</t>
        </is>
      </c>
      <c r="E3" s="20" t="inlineStr">
        <is>
          <t>Mês 3</t>
        </is>
      </c>
      <c r="F3" s="20" t="inlineStr">
        <is>
          <t>Mês 4</t>
        </is>
      </c>
      <c r="G3" s="20" t="inlineStr">
        <is>
          <t>Mês 5</t>
        </is>
      </c>
      <c r="H3" s="20" t="inlineStr">
        <is>
          <t>Mês 6</t>
        </is>
      </c>
      <c r="I3" s="20" t="inlineStr">
        <is>
          <t>Mês 7</t>
        </is>
      </c>
      <c r="J3" s="20" t="inlineStr">
        <is>
          <t>Mês 8</t>
        </is>
      </c>
      <c r="K3" s="20" t="inlineStr">
        <is>
          <t>Mês 9</t>
        </is>
      </c>
      <c r="L3" s="20" t="inlineStr">
        <is>
          <t>Mês 10</t>
        </is>
      </c>
      <c r="M3" s="20" t="inlineStr">
        <is>
          <t>Mês 11</t>
        </is>
      </c>
      <c r="N3" s="20" t="inlineStr">
        <is>
          <t>Mês 12</t>
        </is>
      </c>
    </row>
    <row r="4">
      <c r="A4" s="24" t="inlineStr">
        <is>
          <t>ENTRADAS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</row>
    <row r="5">
      <c r="A5" s="8" t="inlineStr">
        <is>
          <t>Receita bruta</t>
        </is>
      </c>
      <c r="B5" s="39" t="n"/>
      <c r="C5" s="19">
        <f>'DRE 12 Meses'!B14</f>
        <v/>
      </c>
      <c r="D5" s="19">
        <f>'DRE 12 Meses'!C14</f>
        <v/>
      </c>
      <c r="E5" s="19">
        <f>'DRE 12 Meses'!D14</f>
        <v/>
      </c>
      <c r="F5" s="19">
        <f>'DRE 12 Meses'!E14</f>
        <v/>
      </c>
      <c r="G5" s="19">
        <f>'DRE 12 Meses'!F14</f>
        <v/>
      </c>
      <c r="H5" s="19">
        <f>'DRE 12 Meses'!G14</f>
        <v/>
      </c>
      <c r="I5" s="19">
        <f>'DRE 12 Meses'!H14</f>
        <v/>
      </c>
      <c r="J5" s="19">
        <f>'DRE 12 Meses'!I14</f>
        <v/>
      </c>
      <c r="K5" s="19">
        <f>'DRE 12 Meses'!J14</f>
        <v/>
      </c>
      <c r="L5" s="19">
        <f>'DRE 12 Meses'!K14</f>
        <v/>
      </c>
      <c r="M5" s="19">
        <f>'DRE 12 Meses'!L14</f>
        <v/>
      </c>
      <c r="N5" s="19">
        <f>'DRE 12 Meses'!M14</f>
        <v/>
      </c>
    </row>
    <row r="6">
      <c r="A6" s="8" t="inlineStr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</row>
    <row r="7">
      <c r="A7" s="30" t="inlineStr">
        <is>
          <t>SAÍDAS</t>
        </is>
      </c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</row>
    <row r="8">
      <c r="A8" s="8" t="inlineStr">
        <is>
          <t>Investimento inicial</t>
        </is>
      </c>
      <c r="B8" s="16">
        <f>'Premissas'!B51</f>
        <v/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</row>
    <row r="9">
      <c r="A9" s="8" t="inlineStr">
        <is>
          <t>CMV (compra de mercadoria)</t>
        </is>
      </c>
      <c r="B9" s="39" t="n"/>
      <c r="C9" s="19">
        <f>'DRE 12 Meses'!B22</f>
        <v/>
      </c>
      <c r="D9" s="19">
        <f>'DRE 12 Meses'!C22</f>
        <v/>
      </c>
      <c r="E9" s="19">
        <f>'DRE 12 Meses'!D22</f>
        <v/>
      </c>
      <c r="F9" s="19">
        <f>'DRE 12 Meses'!E22</f>
        <v/>
      </c>
      <c r="G9" s="19">
        <f>'DRE 12 Meses'!F22</f>
        <v/>
      </c>
      <c r="H9" s="19">
        <f>'DRE 12 Meses'!G22</f>
        <v/>
      </c>
      <c r="I9" s="19">
        <f>'DRE 12 Meses'!H22</f>
        <v/>
      </c>
      <c r="J9" s="19">
        <f>'DRE 12 Meses'!I22</f>
        <v/>
      </c>
      <c r="K9" s="19">
        <f>'DRE 12 Meses'!J22</f>
        <v/>
      </c>
      <c r="L9" s="19">
        <f>'DRE 12 Meses'!K22</f>
        <v/>
      </c>
      <c r="M9" s="19">
        <f>'DRE 12 Meses'!L22</f>
        <v/>
      </c>
      <c r="N9" s="19">
        <f>'DRE 12 Meses'!M22</f>
        <v/>
      </c>
    </row>
    <row r="10">
      <c r="A10" s="8" t="inlineStr">
        <is>
          <t>Impostos</t>
        </is>
      </c>
      <c r="B10" s="39" t="n"/>
      <c r="C10" s="19">
        <f>'DRE 12 Meses'!B16</f>
        <v/>
      </c>
      <c r="D10" s="19">
        <f>'DRE 12 Meses'!C16</f>
        <v/>
      </c>
      <c r="E10" s="19">
        <f>'DRE 12 Meses'!D16</f>
        <v/>
      </c>
      <c r="F10" s="19">
        <f>'DRE 12 Meses'!E16</f>
        <v/>
      </c>
      <c r="G10" s="19">
        <f>'DRE 12 Meses'!F16</f>
        <v/>
      </c>
      <c r="H10" s="19">
        <f>'DRE 12 Meses'!G16</f>
        <v/>
      </c>
      <c r="I10" s="19">
        <f>'DRE 12 Meses'!H16</f>
        <v/>
      </c>
      <c r="J10" s="19">
        <f>'DRE 12 Meses'!I16</f>
        <v/>
      </c>
      <c r="K10" s="19">
        <f>'DRE 12 Meses'!J16</f>
        <v/>
      </c>
      <c r="L10" s="19">
        <f>'DRE 12 Meses'!K16</f>
        <v/>
      </c>
      <c r="M10" s="19">
        <f>'DRE 12 Meses'!L16</f>
        <v/>
      </c>
      <c r="N10" s="19">
        <f>'DRE 12 Meses'!M16</f>
        <v/>
      </c>
    </row>
    <row r="11">
      <c r="A11" s="8" t="inlineStr">
        <is>
          <t>Custos fixos</t>
        </is>
      </c>
      <c r="B11" s="39" t="n"/>
      <c r="C11" s="19">
        <f>'DRE 12 Meses'!B34</f>
        <v/>
      </c>
      <c r="D11" s="19">
        <f>'DRE 12 Meses'!C34</f>
        <v/>
      </c>
      <c r="E11" s="19">
        <f>'DRE 12 Meses'!D34</f>
        <v/>
      </c>
      <c r="F11" s="19">
        <f>'DRE 12 Meses'!E34</f>
        <v/>
      </c>
      <c r="G11" s="19">
        <f>'DRE 12 Meses'!F34</f>
        <v/>
      </c>
      <c r="H11" s="19">
        <f>'DRE 12 Meses'!G34</f>
        <v/>
      </c>
      <c r="I11" s="19">
        <f>'DRE 12 Meses'!H34</f>
        <v/>
      </c>
      <c r="J11" s="19">
        <f>'DRE 12 Meses'!I34</f>
        <v/>
      </c>
      <c r="K11" s="19">
        <f>'DRE 12 Meses'!J34</f>
        <v/>
      </c>
      <c r="L11" s="19">
        <f>'DRE 12 Meses'!K34</f>
        <v/>
      </c>
      <c r="M11" s="19">
        <f>'DRE 12 Meses'!L34</f>
        <v/>
      </c>
      <c r="N11" s="19">
        <f>'DRE 12 Meses'!M34</f>
        <v/>
      </c>
    </row>
    <row r="12">
      <c r="A12" s="30" t="inlineStr">
        <is>
          <t>Total saídas</t>
        </is>
      </c>
      <c r="B12" s="31">
        <f>SUM(B8:B11)</f>
        <v/>
      </c>
      <c r="C12" s="31">
        <f>SUM(C8:C11)</f>
        <v/>
      </c>
      <c r="D12" s="31">
        <f>SUM(D8:D11)</f>
        <v/>
      </c>
      <c r="E12" s="31">
        <f>SUM(E8:E11)</f>
        <v/>
      </c>
      <c r="F12" s="31">
        <f>SUM(F8:F11)</f>
        <v/>
      </c>
      <c r="G12" s="31">
        <f>SUM(G8:G11)</f>
        <v/>
      </c>
      <c r="H12" s="31">
        <f>SUM(H8:H11)</f>
        <v/>
      </c>
      <c r="I12" s="31">
        <f>SUM(I8:I11)</f>
        <v/>
      </c>
      <c r="J12" s="31">
        <f>SUM(J8:J11)</f>
        <v/>
      </c>
      <c r="K12" s="31">
        <f>SUM(K8:K11)</f>
        <v/>
      </c>
      <c r="L12" s="31">
        <f>SUM(L8:L11)</f>
        <v/>
      </c>
      <c r="M12" s="31">
        <f>SUM(M8:M11)</f>
        <v/>
      </c>
      <c r="N12" s="31">
        <f>SUM(N8:N11)</f>
        <v/>
      </c>
    </row>
    <row r="13">
      <c r="A13" s="8" t="inlineStr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</row>
    <row r="14">
      <c r="A14" s="28" t="inlineStr">
        <is>
          <t>SALDO DO MÊS</t>
        </is>
      </c>
      <c r="B14" s="29">
        <f>B4-B12</f>
        <v/>
      </c>
      <c r="C14" s="29">
        <f>C5-C12</f>
        <v/>
      </c>
      <c r="D14" s="29">
        <f>D5-D12</f>
        <v/>
      </c>
      <c r="E14" s="29">
        <f>E5-E12</f>
        <v/>
      </c>
      <c r="F14" s="29">
        <f>F5-F12</f>
        <v/>
      </c>
      <c r="G14" s="29">
        <f>G5-G12</f>
        <v/>
      </c>
      <c r="H14" s="29">
        <f>H5-H12</f>
        <v/>
      </c>
      <c r="I14" s="29">
        <f>I5-I12</f>
        <v/>
      </c>
      <c r="J14" s="29">
        <f>J5-J12</f>
        <v/>
      </c>
      <c r="K14" s="29">
        <f>K5-K12</f>
        <v/>
      </c>
      <c r="L14" s="29">
        <f>L5-L12</f>
        <v/>
      </c>
      <c r="M14" s="29">
        <f>M5-M12</f>
        <v/>
      </c>
      <c r="N14" s="29">
        <f>N5-N12</f>
        <v/>
      </c>
    </row>
    <row r="15">
      <c r="A15" s="33" t="inlineStr">
        <is>
          <t>SALDO ACUMULADO</t>
        </is>
      </c>
      <c r="B15" s="34">
        <f>B14</f>
        <v/>
      </c>
      <c r="C15" s="34">
        <f>B15+C14</f>
        <v/>
      </c>
      <c r="D15" s="34">
        <f>C15+D14</f>
        <v/>
      </c>
      <c r="E15" s="34">
        <f>D15+E14</f>
        <v/>
      </c>
      <c r="F15" s="34">
        <f>E15+F14</f>
        <v/>
      </c>
      <c r="G15" s="34">
        <f>F15+G14</f>
        <v/>
      </c>
      <c r="H15" s="34">
        <f>G15+H14</f>
        <v/>
      </c>
      <c r="I15" s="34">
        <f>H15+I14</f>
        <v/>
      </c>
      <c r="J15" s="34">
        <f>I15+J14</f>
        <v/>
      </c>
      <c r="K15" s="34">
        <f>J15+K14</f>
        <v/>
      </c>
      <c r="L15" s="34">
        <f>K15+L14</f>
        <v/>
      </c>
      <c r="M15" s="34">
        <f>L15+M14</f>
        <v/>
      </c>
      <c r="N15" s="34">
        <f>M15+N14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48" customWidth="1" min="4" max="4"/>
  </cols>
  <sheetData>
    <row r="1">
      <c r="A1" s="1" t="inlineStr">
        <is>
          <t>ANÁLISE DE BREAKEVEN (Ponto de Equilíbrio)</t>
        </is>
      </c>
    </row>
    <row r="3">
      <c r="A3" s="2" t="inlineStr">
        <is>
          <t>BREAKEVEN MENSAL — Quantas unidades preciso vender para cobrir custos fixos?</t>
        </is>
      </c>
    </row>
    <row r="5">
      <c r="A5" s="7" t="inlineStr">
        <is>
          <t>Indicador</t>
        </is>
      </c>
      <c r="B5" s="7" t="inlineStr">
        <is>
          <t>Gás P13</t>
        </is>
      </c>
      <c r="C5" s="7" t="inlineStr">
        <is>
          <t>Água 20L</t>
        </is>
      </c>
      <c r="D5" s="7" t="inlineStr">
        <is>
          <t>Nota</t>
        </is>
      </c>
    </row>
    <row r="6">
      <c r="A6" s="8" t="inlineStr">
        <is>
          <t>Preço de venda unitário</t>
        </is>
      </c>
      <c r="B6" s="11">
        <f>'Premissas'!B14</f>
        <v/>
      </c>
      <c r="C6" s="11">
        <f>'Premissas'!B18</f>
        <v/>
      </c>
      <c r="D6" s="10" t="inlineStr"/>
    </row>
    <row r="7">
      <c r="A7" s="8" t="inlineStr">
        <is>
          <t>Custo unitário (CMV)</t>
        </is>
      </c>
      <c r="B7" s="11">
        <f>'Premissas'!B15</f>
        <v/>
      </c>
      <c r="C7" s="11">
        <f>'Premissas'!B19</f>
        <v/>
      </c>
      <c r="D7" s="10" t="inlineStr"/>
    </row>
    <row r="8">
      <c r="A8" s="8" t="inlineStr">
        <is>
          <t>Imposto unitário (Simples)</t>
        </is>
      </c>
      <c r="B8" s="11">
        <f>B6*'Premissas'!B23</f>
        <v/>
      </c>
      <c r="C8" s="11">
        <f>C6*'Premissas'!B23</f>
        <v/>
      </c>
      <c r="D8" s="10" t="inlineStr"/>
    </row>
    <row r="9">
      <c r="A9" s="24" t="inlineStr">
        <is>
          <t>Margem de contribuição unitária</t>
        </is>
      </c>
      <c r="B9" s="11">
        <f>B6-B7-B8</f>
        <v/>
      </c>
      <c r="C9" s="11">
        <f>C6-C7-C8</f>
        <v/>
      </c>
      <c r="D9" s="10" t="inlineStr">
        <is>
          <t>Quanto sobra por unidade vendida após CMV e imposto</t>
        </is>
      </c>
    </row>
    <row r="10">
      <c r="A10" s="8" t="inlineStr"/>
      <c r="B10" s="8" t="n"/>
      <c r="C10" s="8" t="n"/>
      <c r="D10" s="10" t="inlineStr"/>
    </row>
    <row r="11">
      <c r="A11" s="28" t="inlineStr">
        <is>
          <t>Custos fixos totais/mês</t>
        </is>
      </c>
      <c r="B11" s="16">
        <f>'Premissas'!B65</f>
        <v/>
      </c>
      <c r="C11" s="16" t="n"/>
      <c r="D11" s="10" t="inlineStr"/>
    </row>
    <row r="12">
      <c r="A12" s="8" t="inlineStr"/>
      <c r="B12" s="8" t="n"/>
      <c r="C12" s="8" t="n"/>
      <c r="D12" s="10" t="inlineStr"/>
    </row>
    <row r="13">
      <c r="A13" s="24" t="inlineStr">
        <is>
          <t>Breakeven — só gás (unidades/mês)</t>
        </is>
      </c>
      <c r="B13" s="14">
        <f>IF(B9=0,0,B11/B9)</f>
        <v/>
      </c>
      <c r="C13" s="14" t="n"/>
      <c r="D13" s="10" t="inlineStr">
        <is>
          <t>Se vendesse APENAS gás</t>
        </is>
      </c>
    </row>
    <row r="14">
      <c r="A14" s="8" t="inlineStr">
        <is>
          <t>Breakeven — só gás (unidades/dia)</t>
        </is>
      </c>
      <c r="B14" s="41">
        <f>IF(B9=0,0,B13/26)</f>
        <v/>
      </c>
      <c r="C14" s="41" t="n"/>
      <c r="D14" s="10" t="inlineStr"/>
    </row>
    <row r="15">
      <c r="A15" s="8" t="inlineStr"/>
      <c r="B15" s="8" t="n"/>
      <c r="C15" s="8" t="n"/>
      <c r="D15" s="10" t="inlineStr"/>
    </row>
    <row r="16">
      <c r="A16" s="24" t="inlineStr">
        <is>
          <t>Breakeven — só água (unidades/mês)</t>
        </is>
      </c>
      <c r="B16" s="14" t="n"/>
      <c r="C16" s="14">
        <f>IF(C9=0,0,B11/C9)</f>
        <v/>
      </c>
      <c r="D16" s="10" t="inlineStr">
        <is>
          <t>Se vendesse APENAS água</t>
        </is>
      </c>
    </row>
    <row r="17">
      <c r="A17" s="8" t="inlineStr">
        <is>
          <t>Breakeven — só água (unidades/dia)</t>
        </is>
      </c>
      <c r="B17" s="41" t="n"/>
      <c r="C17" s="41">
        <f>IF(C9=0,0,C16/26)</f>
        <v/>
      </c>
      <c r="D17" s="10" t="inlineStr"/>
    </row>
    <row r="18">
      <c r="A18" s="8" t="inlineStr"/>
      <c r="B18" s="8" t="n"/>
      <c r="C18" s="8" t="n"/>
      <c r="D18" s="10" t="inlineStr"/>
    </row>
    <row r="19">
      <c r="A19" s="28" t="inlineStr">
        <is>
          <t>Breakeven — MIX (premissa: 60% receita gás, 40% água)</t>
        </is>
      </c>
      <c r="B19" s="8" t="n"/>
      <c r="C19" s="8" t="n"/>
      <c r="D19" s="10" t="inlineStr"/>
    </row>
    <row r="20">
      <c r="A20" s="8" t="inlineStr">
        <is>
          <t>Margem contribuição ponderada</t>
        </is>
      </c>
      <c r="B20" s="11">
        <f>B9*0.6+C9*0.4</f>
        <v/>
      </c>
      <c r="C20" s="11" t="n"/>
      <c r="D20" s="10" t="inlineStr">
        <is>
          <t>Média ponderada considerando mix de produtos</t>
        </is>
      </c>
    </row>
    <row r="21">
      <c r="A21" s="24" t="inlineStr">
        <is>
          <t>Breakeven mix (unidades totais/mês)</t>
        </is>
      </c>
      <c r="B21" s="14">
        <f>IF(B20=0,0,B11/B20)</f>
        <v/>
      </c>
      <c r="C21" s="14" t="n"/>
      <c r="D21" s="10" t="inlineStr">
        <is>
          <t>Combinando gás + água</t>
        </is>
      </c>
    </row>
    <row r="22">
      <c r="A22" s="8" t="inlineStr">
        <is>
          <t>Breakeven mix (unidades totais/dia)</t>
        </is>
      </c>
      <c r="B22" s="41">
        <f>IF(B20=0,0,B21/26)</f>
        <v/>
      </c>
      <c r="C22" s="41" t="n"/>
      <c r="D22" s="10" t="inlineStr"/>
    </row>
  </sheetData>
  <mergeCells count="2">
    <mergeCell ref="A1:D1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ANÁLISE DE SENSIBILIDADE — O QUE ACONTECE SE...</t>
        </is>
      </c>
    </row>
    <row r="3">
      <c r="A3" s="2" t="inlineStr">
        <is>
          <t>Impacto no lucro operacional mensal (cenário realista maduro) quando uma variável muda</t>
        </is>
      </c>
    </row>
    <row r="5">
      <c r="A5" s="35" t="inlineStr">
        <is>
          <t>Variável</t>
        </is>
      </c>
      <c r="B5" s="35" t="inlineStr">
        <is>
          <t>Valor base</t>
        </is>
      </c>
      <c r="C5" s="35" t="inlineStr">
        <is>
          <t>-20%</t>
        </is>
      </c>
      <c r="D5" s="35" t="inlineStr">
        <is>
          <t>-10%</t>
        </is>
      </c>
      <c r="E5" s="35" t="inlineStr">
        <is>
          <t>+10%</t>
        </is>
      </c>
      <c r="F5" s="35" t="inlineStr">
        <is>
          <t>+20%</t>
        </is>
      </c>
    </row>
    <row r="6">
      <c r="A6" s="8" t="inlineStr">
        <is>
          <t>Preço do gás (R$/botijão)</t>
        </is>
      </c>
      <c r="B6" s="42">
        <f>'Premissas'!B14</f>
        <v/>
      </c>
      <c r="C6" s="16">
        <f>('Premissas'!C33*(('Premissas'!B14*0.8)-'Premissas'!B15)+'Premissas'!C34*('Premissas'!B18-'Premissas'!B19))*(1-'Premissas'!B23)-'Premissas'!B65</f>
        <v/>
      </c>
      <c r="D6" s="16">
        <f>('Premissas'!C33*(('Premissas'!B14*0.9)-'Premissas'!B15)+'Premissas'!C34*('Premissas'!B18-'Premissas'!B19))*(1-'Premissas'!B23)-'Premissas'!B65</f>
        <v/>
      </c>
      <c r="E6" s="16">
        <f>('Premissas'!C33*(('Premissas'!B14*1.1)-'Premissas'!B15)+'Premissas'!C34*('Premissas'!B18-'Premissas'!B19))*(1-'Premissas'!B23)-'Premissas'!B65</f>
        <v/>
      </c>
      <c r="F6" s="16">
        <f>('Premissas'!C33*(('Premissas'!B14*1.2)-'Premissas'!B15)+'Premissas'!C34*('Premissas'!B18-'Premissas'!B19))*(1-'Premissas'!B23)-'Premissas'!B65</f>
        <v/>
      </c>
    </row>
    <row r="7">
      <c r="A7" s="8" t="inlineStr">
        <is>
          <t>Custo do gás (R$/botijão)</t>
        </is>
      </c>
      <c r="B7" s="42">
        <f>'Premissas'!B15</f>
        <v/>
      </c>
      <c r="C7" s="16">
        <f>('Premissas'!C33*('Premissas'!B14-('Premissas'!B15*0.8))+'Premissas'!C34*('Premissas'!B18-'Premissas'!B19))*(1-'Premissas'!B23)-'Premissas'!B65</f>
        <v/>
      </c>
      <c r="D7" s="16">
        <f>('Premissas'!C33*('Premissas'!B14-('Premissas'!B15*0.9))+'Premissas'!C34*('Premissas'!B18-'Premissas'!B19))*(1-'Premissas'!B23)-'Premissas'!B65</f>
        <v/>
      </c>
      <c r="E7" s="16">
        <f>('Premissas'!C33*('Premissas'!B14-('Premissas'!B15*1.1))+'Premissas'!C34*('Premissas'!B18-'Premissas'!B19))*(1-'Premissas'!B23)-'Premissas'!B65</f>
        <v/>
      </c>
      <c r="F7" s="16">
        <f>('Premissas'!C33*('Premissas'!B14-('Premissas'!B15*1.2))+'Premissas'!C34*('Premissas'!B18-'Premissas'!B19))*(1-'Premissas'!B23)-'Premissas'!B65</f>
        <v/>
      </c>
    </row>
    <row r="8">
      <c r="A8" s="8" t="inlineStr">
        <is>
          <t>Volume gás (botijões/mês)</t>
        </is>
      </c>
      <c r="B8" s="43">
        <f>'Premissas'!C33</f>
        <v/>
      </c>
      <c r="C8" s="16">
        <f>(('Premissas'!C33*0.8)*('Premissas'!B14-'Premissas'!B15)+'Premissas'!C34*('Premissas'!B18-'Premissas'!B19))*(1-'Premissas'!B23)-'Premissas'!B65</f>
        <v/>
      </c>
      <c r="D8" s="16">
        <f>(('Premissas'!C33*0.9)*('Premissas'!B14-'Premissas'!B15)+'Premissas'!C34*('Premissas'!B18-'Premissas'!B19))*(1-'Premissas'!B23)-'Premissas'!B65</f>
        <v/>
      </c>
      <c r="E8" s="16">
        <f>(('Premissas'!C33*1.1)*('Premissas'!B14-'Premissas'!B15)+'Premissas'!C34*('Premissas'!B18-'Premissas'!B19))*(1-'Premissas'!B23)-'Premissas'!B65</f>
        <v/>
      </c>
      <c r="F8" s="16">
        <f>(('Premissas'!C33*1.2)*('Premissas'!B14-'Premissas'!B15)+'Premissas'!C34*('Premissas'!B18-'Premissas'!B19))*(1-'Premissas'!B23)-'Premissas'!B65</f>
        <v/>
      </c>
    </row>
    <row r="9">
      <c r="A9" s="8" t="inlineStr">
        <is>
          <t>Preço da água (R$/galão)</t>
        </is>
      </c>
      <c r="B9" s="42">
        <f>'Premissas'!B18</f>
        <v/>
      </c>
      <c r="C9" s="16">
        <f>('Premissas'!C33*('Premissas'!B14-'Premissas'!B15)+'Premissas'!C34*(('Premissas'!B18*0.8)-'Premissas'!B19))*(1-'Premissas'!B23)-'Premissas'!B65</f>
        <v/>
      </c>
      <c r="D9" s="16">
        <f>('Premissas'!C33*('Premissas'!B14-'Premissas'!B15)+'Premissas'!C34*(('Premissas'!B18*0.9)-'Premissas'!B19))*(1-'Premissas'!B23)-'Premissas'!B65</f>
        <v/>
      </c>
      <c r="E9" s="16">
        <f>('Premissas'!C33*('Premissas'!B14-'Premissas'!B15)+'Premissas'!C34*(('Premissas'!B18*1.1)-'Premissas'!B19))*(1-'Premissas'!B23)-'Premissas'!B65</f>
        <v/>
      </c>
      <c r="F9" s="16">
        <f>('Premissas'!C33*('Premissas'!B14-'Premissas'!B15)+'Premissas'!C34*(('Premissas'!B18*1.2)-'Premissas'!B19))*(1-'Premissas'!B23)-'Premissas'!B65</f>
        <v/>
      </c>
    </row>
    <row r="10">
      <c r="A10" s="8" t="inlineStr">
        <is>
          <t>Custo da água (R$/galão)</t>
        </is>
      </c>
      <c r="B10" s="42">
        <f>'Premissas'!B19</f>
        <v/>
      </c>
      <c r="C10" s="16">
        <f>('Premissas'!C33*('Premissas'!B14-'Premissas'!B15)+'Premissas'!C34*('Premissas'!B18-('Premissas'!B19*0.8)))*(1-'Premissas'!B23)-'Premissas'!B65</f>
        <v/>
      </c>
      <c r="D10" s="16">
        <f>('Premissas'!C33*('Premissas'!B14-'Premissas'!B15)+'Premissas'!C34*('Premissas'!B18-('Premissas'!B19*0.9)))*(1-'Premissas'!B23)-'Premissas'!B65</f>
        <v/>
      </c>
      <c r="E10" s="16">
        <f>('Premissas'!C33*('Premissas'!B14-'Premissas'!B15)+'Premissas'!C34*('Premissas'!B18-('Premissas'!B19*1.1)))*(1-'Premissas'!B23)-'Premissas'!B65</f>
        <v/>
      </c>
      <c r="F10" s="16">
        <f>('Premissas'!C33*('Premissas'!B14-'Premissas'!B15)+'Premissas'!C34*('Premissas'!B18-('Premissas'!B19*1.2)))*(1-'Premissas'!B23)-'Premissas'!B65</f>
        <v/>
      </c>
    </row>
    <row r="11">
      <c r="A11" s="8" t="inlineStr">
        <is>
          <t>Volume água (galões/mês)</t>
        </is>
      </c>
      <c r="B11" s="43">
        <f>'Premissas'!C34</f>
        <v/>
      </c>
      <c r="C11" s="16">
        <f>('Premissas'!C33*('Premissas'!B14-'Premissas'!B15)+('Premissas'!C34*0.8)*('Premissas'!B18-'Premissas'!B19))*(1-'Premissas'!B23)-'Premissas'!B65</f>
        <v/>
      </c>
      <c r="D11" s="16">
        <f>('Premissas'!C33*('Premissas'!B14-'Premissas'!B15)+('Premissas'!C34*0.9)*('Premissas'!B18-'Premissas'!B19))*(1-'Premissas'!B23)-'Premissas'!B65</f>
        <v/>
      </c>
      <c r="E11" s="16">
        <f>('Premissas'!C33*('Premissas'!B14-'Premissas'!B15)+('Premissas'!C34*1.1)*('Premissas'!B18-'Premissas'!B19))*(1-'Premissas'!B23)-'Premissas'!B65</f>
        <v/>
      </c>
      <c r="F11" s="16">
        <f>('Premissas'!C33*('Premissas'!B14-'Premissas'!B15)+('Premissas'!C34*1.2)*('Premissas'!B18-'Premissas'!B19))*(1-'Premissas'!B23)-'Premissas'!B65</f>
        <v/>
      </c>
    </row>
    <row r="12">
      <c r="A12" s="8" t="inlineStr">
        <is>
          <t>Custos fixos (R$/mês)</t>
        </is>
      </c>
      <c r="B12" s="42">
        <f>'Premissas'!B65</f>
        <v/>
      </c>
      <c r="C12" s="16">
        <f>('Premissas'!C33*('Premissas'!B14-'Premissas'!B15)+'Premissas'!C34*('Premissas'!B18-'Premissas'!B19))*(1-'Premissas'!B23)-('Premissas'!B65*0.8)</f>
        <v/>
      </c>
      <c r="D12" s="16">
        <f>('Premissas'!C33*('Premissas'!B14-'Premissas'!B15)+'Premissas'!C34*('Premissas'!B18-'Premissas'!B19))*(1-'Premissas'!B23)-('Premissas'!B65*0.9)</f>
        <v/>
      </c>
      <c r="E12" s="16">
        <f>('Premissas'!C33*('Premissas'!B14-'Premissas'!B15)+'Premissas'!C34*('Premissas'!B18-'Premissas'!B19))*(1-'Premissas'!B23)-('Premissas'!B65*1.1)</f>
        <v/>
      </c>
      <c r="F12" s="16">
        <f>('Premissas'!C33*('Premissas'!B14-'Premissas'!B15)+'Premissas'!C34*('Premissas'!B18-'Premissas'!B19))*(1-'Premissas'!B23)-('Premissas'!B65*1.2)</f>
        <v/>
      </c>
    </row>
    <row r="14">
      <c r="A14" s="24" t="inlineStr">
        <is>
          <t>LUCRO BASE (referência)</t>
        </is>
      </c>
      <c r="B14" s="25">
        <f>('Premissas'!C33*('Premissas'!B14-'Premissas'!B15)+'Premissas'!C34*('Premissas'!B18-'Premissas'!B19))*(1-'Premissas'!B23)-'Premissas'!B65</f>
        <v/>
      </c>
      <c r="C14" s="25">
        <f>('Premissas'!C33*('Premissas'!B14-'Premissas'!B15)+'Premissas'!C34*('Premissas'!B18-'Premissas'!B19))*(1-'Premissas'!B23)-'Premissas'!B65</f>
        <v/>
      </c>
      <c r="D14" s="25">
        <f>('Premissas'!C33*('Premissas'!B14-'Premissas'!B15)+'Premissas'!C34*('Premissas'!B18-'Premissas'!B19))*(1-'Premissas'!B23)-'Premissas'!B65</f>
        <v/>
      </c>
      <c r="E14" s="25">
        <f>('Premissas'!C33*('Premissas'!B14-'Premissas'!B15)+'Premissas'!C34*('Premissas'!B18-'Premissas'!B19))*(1-'Premissas'!B23)-'Premissas'!B65</f>
        <v/>
      </c>
      <c r="F14" s="25">
        <f>('Premissas'!C33*('Premissas'!B14-'Premissas'!B15)+'Premissas'!C34*('Premissas'!B18-'Premissas'!B19))*(1-'Premissas'!B23)-'Premissas'!B65</f>
        <v/>
      </c>
    </row>
    <row r="16">
      <c r="A16" s="5" t="inlineStr">
        <is>
          <t>LEGENDA:</t>
        </is>
      </c>
    </row>
    <row r="17">
      <c r="A17" s="3" t="inlineStr">
        <is>
          <t>Cada célula mostra o lucro operacional mensal quando APENAS aquela variável muda.</t>
        </is>
      </c>
    </row>
    <row r="18">
      <c r="A18" s="3" t="inlineStr">
        <is>
          <t>Compare com a linha "Lucro Base" para ver o impacto de cada variação.</t>
        </is>
      </c>
    </row>
    <row r="19">
      <c r="A19" s="3" t="inlineStr">
        <is>
          <t>As variáveis mais sensíveis são as que mais mudam o lucro quando variam ±10-20%.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55" customWidth="1" min="3" max="3"/>
  </cols>
  <sheetData>
    <row r="1">
      <c r="A1" s="1" t="inlineStr">
        <is>
          <t>KILL CRITERIA — QUANDO ENCERRAR O PROJETO</t>
        </is>
      </c>
    </row>
    <row r="3">
      <c r="A3" s="7" t="inlineStr">
        <is>
          <t>Critério</t>
        </is>
      </c>
      <c r="B3" s="7" t="inlineStr">
        <is>
          <t>Limite</t>
        </is>
      </c>
      <c r="C3" s="7" t="inlineStr">
        <is>
          <t>Ação</t>
        </is>
      </c>
    </row>
    <row r="4">
      <c r="A4" s="8" t="inlineStr">
        <is>
          <t>Zoneamento negado pela Prefeitura</t>
        </is>
      </c>
      <c r="B4" s="8" t="inlineStr">
        <is>
          <t>Parecer negativo</t>
        </is>
      </c>
      <c r="C4" s="8" t="inlineStr">
        <is>
          <t>ENCERRAR — não há alternativa no mesmo local</t>
        </is>
      </c>
    </row>
    <row r="5">
      <c r="A5" s="8" t="inlineStr">
        <is>
          <t>Nenhuma distribuidora atende Anchieta</t>
        </is>
      </c>
      <c r="B5" s="8" t="inlineStr">
        <is>
          <t>Todas recusam</t>
        </is>
      </c>
      <c r="C5" s="8" t="inlineStr">
        <is>
          <t>ENCERRAR — sem fornecedor, sem negócio</t>
        </is>
      </c>
    </row>
    <row r="6">
      <c r="A6" s="8" t="inlineStr">
        <is>
          <t>Vendas &lt; breakeven por 3 meses consecutivos (após ramp-up)</t>
        </is>
      </c>
      <c r="B6" s="8" t="inlineStr">
        <is>
          <t>Mês 6 em diante</t>
        </is>
      </c>
      <c r="C6" s="8" t="inlineStr">
        <is>
          <t>AVALIAR: reduzir custos, intensificar marketing, ou ENCERRAR</t>
        </is>
      </c>
    </row>
    <row r="7">
      <c r="A7" s="8" t="inlineStr">
        <is>
          <t>Prejuízo acumulado &gt; R$ 15.000 (excluindo investimento)</t>
        </is>
      </c>
      <c r="B7" s="8" t="inlineStr">
        <is>
          <t>A qualquer momento</t>
        </is>
      </c>
      <c r="C7" s="8" t="inlineStr">
        <is>
          <t>ENCERRAR — vender estoque e recuperar capital</t>
        </is>
      </c>
    </row>
    <row r="8">
      <c r="A8" s="8" t="inlineStr">
        <is>
          <t>Concorrente abre revenda no mesmo quarteirão</t>
        </is>
      </c>
      <c r="B8" s="8" t="inlineStr">
        <is>
          <t>A qualquer momento</t>
        </is>
      </c>
      <c r="C8" s="8" t="inlineStr">
        <is>
          <t>AVALIAR: diferenciar por entrega rápida ou ENCERRAR se inviável</t>
        </is>
      </c>
    </row>
    <row r="9">
      <c r="A9" s="8" t="inlineStr">
        <is>
          <t>Regulamentação nova da ANP inviabiliza operação</t>
        </is>
      </c>
      <c r="B9" s="8" t="inlineStr">
        <is>
          <t>A qualquer momento</t>
        </is>
      </c>
      <c r="C9" s="8" t="inlineStr">
        <is>
          <t>ENCERRAR — adaptar se possível, encerrar se não</t>
        </is>
      </c>
    </row>
    <row r="10">
      <c r="A10" s="8" t="inlineStr">
        <is>
          <t>Custo de adequação &gt; R$ 30.000</t>
        </is>
      </c>
      <c r="B10" s="8" t="inlineStr">
        <is>
          <t>Antes de iniciar obra</t>
        </is>
      </c>
      <c r="C10" s="8" t="inlineStr">
        <is>
          <t>REAVALIAR — a conta pode não fechar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2026-08-12T19:50:54Z</dcterms:created>
  <dcterms:modified xsi:type="dcterms:W3CDTF">2026-08-12T19:50:54Z</dcterms:modified>
</cp:coreProperties>
</file>